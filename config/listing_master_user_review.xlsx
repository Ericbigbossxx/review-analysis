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717ce4ccd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view" sheetId="1" r:id="R26b5aa840f2b4030"/>
    <x:sheet xmlns:r="http://schemas.openxmlformats.org/officeDocument/2006/relationships" name="Field Guide" sheetId="2" r:id="R2d666ff859ac4193"/>
    <x:sheet xmlns:r="http://schemas.openxmlformats.org/officeDocument/2006/relationships" name="Platform Summary" sheetId="3" r:id="Rc4adf83cbaec4da1"/>
    <x:sheet xmlns:r="http://schemas.openxmlformats.org/officeDocument/2006/relationships" name="Issues" sheetId="4" r:id="Rb071c189b10d4cf0"/>
    <x:sheet xmlns:r="http://schemas.openxmlformats.org/officeDocument/2006/relationships" name="Approval Instructions" sheetId="5" r:id="R2ccfd918ebc1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  <x:fill>
      <x:patternFill patternType="solid">
        <x:fgColor rgb="FF9C0006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ee2d3a4b244a1" /><Relationship Type="http://schemas.openxmlformats.org/officeDocument/2006/relationships/theme" Target="/xl/theme/theme1.xml" Id="R22d5879917c2467f" /><Relationship Type="http://schemas.openxmlformats.org/officeDocument/2006/relationships/sharedStrings" Target="/xl/sharedStrings.xml" Id="R750faf1e87764cec" /><Relationship Type="http://schemas.openxmlformats.org/officeDocument/2006/relationships/worksheet" Target="/xl/worksheets/sheet1.xml" Id="R26b5aa840f2b4030" /><Relationship Type="http://schemas.openxmlformats.org/officeDocument/2006/relationships/worksheet" Target="/xl/worksheets/sheet2.xml" Id="R2d666ff859ac4193" /><Relationship Type="http://schemas.openxmlformats.org/officeDocument/2006/relationships/worksheet" Target="/xl/worksheets/sheet3.xml" Id="Rc4adf83cbaec4da1" /><Relationship Type="http://schemas.openxmlformats.org/officeDocument/2006/relationships/worksheet" Target="/xl/worksheets/sheet4.xml" Id="Rb071c189b10d4cf0" /><Relationship Type="http://schemas.openxmlformats.org/officeDocument/2006/relationships/worksheet" Target="/xl/worksheets/sheet5.xml" Id="R2ccfd918ebc145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5" hidden="0" customWidth="1"/>
    <x:col min="4" max="4" width="10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34" hidden="0" customWidth="1"/>
    <x:col min="14" max="14" width="48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12" hidden="0" customWidth="1"/>
    <x:col min="20" max="20" width="20" hidden="0" customWidth="1"/>
    <x:col min="21" max="21" width="16" hidden="0" customWidth="1"/>
    <x:col min="22" max="22" width="14" hidden="0" customWidth="1"/>
    <x:col min="23" max="23" width="16" hidden="0" customWidth="1"/>
    <x:col min="24" max="24" width="18" hidden="0" customWidth="1"/>
    <x:col min="25" max="25" width="18" hidden="0" customWidth="1"/>
    <x:col min="26" max="26" width="20" hidden="0" customWidth="1"/>
    <x:col min="27" max="27" width="18" hidden="0" customWidth="1"/>
    <x:col min="28" max="28" width="22" hidden="0" customWidth="1"/>
    <x:col min="29" max="29" width="24" hidden="0" customWidth="1"/>
    <x:col min="30" max="30" width="18" hidden="0" customWidth="1"/>
    <x:col min="31" max="31" width="24" hidden="0" customWidth="1"/>
    <x:col min="32" max="32" width="48" hidden="0" customWidth="1"/>
    <x:col min="33" max="33" width="11" hidden="0" customWidth="1"/>
    <x:col min="34" max="34" width="38" hidden="0" customWidth="1"/>
    <x:col min="35" max="35" width="46" hidden="0" customWidth="1"/>
  </x:cols>
  <x:sheetData>
    <x:row r="1" ht="34" customHeight="1">
      <x:c r="A1" s="12" t="str">
        <x:v>review_status</x:v>
      </x:c>
      <x:c r="B1" s="13" t="str">
        <x:v>user_decision</x:v>
      </x:c>
      <x:c r="C1" s="13" t="str">
        <x:v>record_id</x:v>
      </x:c>
      <x:c r="D1" s="13" t="str">
        <x:v>active</x:v>
      </x:c>
      <x:c r="E1" s="13" t="str">
        <x:v>platform</x:v>
      </x:c>
      <x:c r="F1" s="13" t="str">
        <x:v>url_detected_platform</x:v>
      </x:c>
      <x:c r="G1" s="13" t="str">
        <x:v>platform_match_status</x:v>
      </x:c>
      <x:c r="H1" s="13" t="str">
        <x:v>brand</x:v>
      </x:c>
      <x:c r="I1" s="13" t="str">
        <x:v>product_line</x:v>
      </x:c>
      <x:c r="J1" s="13" t="str">
        <x:v>internal_sku</x:v>
      </x:c>
      <x:c r="K1" s="13" t="str">
        <x:v>model</x:v>
      </x:c>
      <x:c r="L1" s="13" t="str">
        <x:v>platform_item_id</x:v>
      </x:c>
      <x:c r="M1" s="13" t="str">
        <x:v>product_name</x:v>
      </x:c>
      <x:c r="N1" s="13" t="str">
        <x:v>listing_url</x:v>
      </x:c>
      <x:c r="O1" s="13" t="str">
        <x:v>link_display</x:v>
      </x:c>
      <x:c r="P1" s="13" t="str">
        <x:v>primary_keyword</x:v>
      </x:c>
      <x:c r="Q1" s="13" t="str">
        <x:v>secondary_keyword</x:v>
      </x:c>
      <x:c r="R1" s="13" t="str">
        <x:v>third_keyword</x:v>
      </x:c>
      <x:c r="S1" s="13" t="str">
        <x:v>zip_code</x:v>
      </x:c>
      <x:c r="T1" s="13" t="str">
        <x:v>expected_seller</x:v>
      </x:c>
      <x:c r="U1" s="13" t="str">
        <x:v>monitor_listing</x:v>
      </x:c>
      <x:c r="V1" s="13" t="str">
        <x:v>monitor_rank</x:v>
      </x:c>
      <x:c r="W1" s="13" t="str">
        <x:v>monitor_review</x:v>
      </x:c>
      <x:c r="X1" s="13" t="str">
        <x:v>max_search_pages</x:v>
      </x:c>
      <x:c r="Y1" s="13" t="str">
        <x:v>review_count_in_database</x:v>
      </x:c>
      <x:c r="Z1" s="13" t="str">
        <x:v>legacy_listing_data_present</x:v>
      </x:c>
      <x:c r="AA1" s="13" t="str">
        <x:v>data_completeness_score</x:v>
      </x:c>
      <x:c r="AB1" s="13" t="str">
        <x:v>data_completeness_status</x:v>
      </x:c>
      <x:c r="AC1" s="13" t="str">
        <x:v>missing_required_fields</x:v>
      </x:c>
      <x:c r="AD1" s="13" t="str">
        <x:v>duplicate_candidate</x:v>
      </x:c>
      <x:c r="AE1" s="13" t="str">
        <x:v>identity_warning</x:v>
      </x:c>
      <x:c r="AF1" s="13" t="str">
        <x:v>source_file</x:v>
      </x:c>
      <x:c r="AG1" s="13" t="str">
        <x:v>source_row</x:v>
      </x:c>
      <x:c r="AH1" s="13" t="str">
        <x:v>user_notes</x:v>
      </x:c>
      <x:c r="AI1" s="14" t="str">
        <x:v>codex_notes</x:v>
      </x:c>
    </x:row>
    <x:row r="2">
      <x:c r="A2" s="18" t="str">
        <x:v>NOT_REVIEWED</x:v>
      </x:c>
      <x:c r="B2" s="18" t="str"/>
      <x:c r="C2" s="17" t="str">
        <x:v>THD_WBP31BCF</x:v>
      </x:c>
      <x:c r="D2" s="17" t="str">
        <x:v>FALSE</x:v>
      </x:c>
      <x:c r="E2" s="17" t="str">
        <x:v>THD</x:v>
      </x:c>
      <x:c r="F2" s="17" t="str">
        <x:v>THD</x:v>
      </x:c>
      <x:c r="G2" s="17" t="str">
        <x:v>MATCH</x:v>
      </x:c>
      <x:c r="H2" s="17" t="str">
        <x:v>WILD BADGER POWER</x:v>
      </x:c>
      <x:c r="I2" s="17" t="str">
        <x:v>String Trimmer</x:v>
      </x:c>
      <x:c r="J2" s="17" t="str">
        <x:v>WBP31BCF</x:v>
      </x:c>
      <x:c r="K2" s="17" t="str"/>
      <x:c r="L2" s="17" t="str">
        <x:v>311424786</x:v>
      </x:c>
      <x:c r="M2" s="17" t="str">
        <x:v>31cc String Trimmer 4-Stroke 31cc Brush Cutter Blade Gas Shoulder Strap String Trimmer Rubber Handle</x:v>
      </x:c>
      <x:c r="N2" s="17" t="str">
        <x:v>https://www.homedepot.com/p/311424786</x:v>
      </x:c>
      <x:c r="O2" s="17" t="e">
        <x:f>HYPERLINK(N2,"Open Listing")</x:f>
        <x:v>HYPERLINK is not implemented. linkLocation=https://www.homedepot.com/p/311424786, friendlyName=Open Listing</x:v>
      </x:c>
      <x:c r="P2" s="17" t="str"/>
      <x:c r="Q2" s="17" t="str"/>
      <x:c r="R2" s="17" t="str"/>
      <x:c r="S2" s="17" t="str"/>
      <x:c r="T2" s="17" t="str"/>
      <x:c r="U2" s="17" t="str">
        <x:v>FALSE</x:v>
      </x:c>
      <x:c r="V2" s="17" t="str">
        <x:v>FALSE</x:v>
      </x:c>
      <x:c r="W2" s="17" t="str">
        <x:v>FALSE</x:v>
      </x:c>
      <x:c r="X2" s="17" t="str"/>
      <x:c r="Y2" s="17" t="n">
        <x:v>78</x:v>
      </x:c>
      <x:c r="Z2" s="17" t="str">
        <x:v>TRUE</x:v>
      </x:c>
      <x:c r="AA2" s="20" t="n">
        <x:v>75</x:v>
      </x:c>
      <x:c r="AB2" s="20" t="str">
        <x:v>PARTIAL_DATA</x:v>
      </x:c>
      <x:c r="AC2" s="17" t="str"/>
      <x:c r="AD2" s="17" t="str">
        <x:v>FALSE</x:v>
      </x:c>
      <x:c r="AE2" s="17" t="str"/>
      <x:c r="AF2" s="17" t="str">
        <x:v>runs/2026-07-23-biweekly-review-analysis/review_summary.json</x:v>
      </x:c>
      <x:c r="AG2" s="17" t="n">
        <x:v>1</x:v>
      </x:c>
      <x:c r="AH2" s="18" t="str"/>
      <x:c r="AI2" s="19" t="str">
        <x:v>Offline review only; no Listing URL was opened or verified.</x:v>
      </x:c>
    </x:row>
    <x:row r="3">
      <x:c r="A3" s="18" t="str">
        <x:v>NOT_REVIEWED</x:v>
      </x:c>
      <x:c r="B3" s="18" t="str"/>
      <x:c r="C3" s="17" t="str">
        <x:v>THD_WBP52BCI</x:v>
      </x:c>
      <x:c r="D3" s="17" t="str">
        <x:v>FALSE</x:v>
      </x:c>
      <x:c r="E3" s="17" t="str">
        <x:v>THD</x:v>
      </x:c>
      <x:c r="F3" s="17" t="str">
        <x:v>THD</x:v>
      </x:c>
      <x:c r="G3" s="17" t="str">
        <x:v>MATCH</x:v>
      </x:c>
      <x:c r="H3" s="17" t="str">
        <x:v>WILD BADGER POWER</x:v>
      </x:c>
      <x:c r="I3" s="17" t="str">
        <x:v>String Trimmer</x:v>
      </x:c>
      <x:c r="J3" s="17" t="str">
        <x:v>WBP52BCI</x:v>
      </x:c>
      <x:c r="K3" s="17" t="str"/>
      <x:c r="L3" s="17" t="str">
        <x:v>311424784</x:v>
      </x:c>
      <x:c r="M3" s="17" t="str">
        <x:v>52 cc Gas 2-Stroke 2-in-1 Brush Cutter and String Hand Held Trimmer</x:v>
      </x:c>
      <x:c r="N3" s="17" t="str">
        <x:v>https://www.homedepot.com/p/311424784</x:v>
      </x:c>
      <x:c r="O3" s="17" t="e">
        <x:f>HYPERLINK(N3,"Open Listing")</x:f>
        <x:v>HYPERLINK is not implemented. linkLocation=https://www.homedepot.com/p/311424784, friendlyName=Open Listing</x:v>
      </x:c>
      <x:c r="P3" s="17" t="str"/>
      <x:c r="Q3" s="17" t="str"/>
      <x:c r="R3" s="17" t="str"/>
      <x:c r="S3" s="17" t="str"/>
      <x:c r="T3" s="17" t="str"/>
      <x:c r="U3" s="17" t="str">
        <x:v>FALSE</x:v>
      </x:c>
      <x:c r="V3" s="17" t="str">
        <x:v>FALSE</x:v>
      </x:c>
      <x:c r="W3" s="17" t="str">
        <x:v>FALSE</x:v>
      </x:c>
      <x:c r="X3" s="17" t="str"/>
      <x:c r="Y3" s="17" t="n">
        <x:v>105</x:v>
      </x:c>
      <x:c r="Z3" s="17" t="str">
        <x:v>TRUE</x:v>
      </x:c>
      <x:c r="AA3" s="20" t="n">
        <x:v>75</x:v>
      </x:c>
      <x:c r="AB3" s="20" t="str">
        <x:v>PARTIAL_DATA</x:v>
      </x:c>
      <x:c r="AC3" s="17" t="str"/>
      <x:c r="AD3" s="17" t="str">
        <x:v>FALSE</x:v>
      </x:c>
      <x:c r="AE3" s="17" t="str"/>
      <x:c r="AF3" s="17" t="str">
        <x:v>runs/2026-07-23-biweekly-review-analysis/review_summary.json</x:v>
      </x:c>
      <x:c r="AG3" s="17" t="n">
        <x:v>2</x:v>
      </x:c>
      <x:c r="AH3" s="18" t="str"/>
      <x:c r="AI3" s="19" t="str">
        <x:v>Offline review only; no Listing URL was opened or verified.</x:v>
      </x:c>
    </x:row>
    <x:row r="4">
      <x:c r="A4" s="18" t="str">
        <x:v>NOT_REVIEWED</x:v>
      </x:c>
      <x:c r="B4" s="18" t="str"/>
      <x:c r="C4" s="17" t="str">
        <x:v>THD_WBPMT26TS</x:v>
      </x:c>
      <x:c r="D4" s="17" t="str">
        <x:v>FALSE</x:v>
      </x:c>
      <x:c r="E4" s="17" t="str">
        <x:v>THD</x:v>
      </x:c>
      <x:c r="F4" s="17" t="str">
        <x:v>THD</x:v>
      </x:c>
      <x:c r="G4" s="17" t="str">
        <x:v>MATCH</x:v>
      </x:c>
      <x:c r="H4" s="17" t="str">
        <x:v>WILD BADGER POWER</x:v>
      </x:c>
      <x:c r="I4" s="17" t="str">
        <x:v>String Trimmer</x:v>
      </x:c>
      <x:c r="J4" s="17" t="str">
        <x:v>WBPMT26TS</x:v>
      </x:c>
      <x:c r="K4" s="17" t="str"/>
      <x:c r="L4" s="17" t="str">
        <x:v>342972128</x:v>
      </x:c>
      <x:c r="M4" s="17" t="str">
        <x:v>26cc 4-in-1 Full Crank 2-Stroke Gas Straight Shaft Multi-Function String Trimmer with Pole Saw Attachment and Spool</x:v>
      </x:c>
      <x:c r="N4" s="17" t="str">
        <x:v>https://www.homedepot.com/p/342972128</x:v>
      </x:c>
      <x:c r="O4" s="17" t="e">
        <x:f>HYPERLINK(N4,"Open Listing")</x:f>
        <x:v>HYPERLINK is not implemented. linkLocation=https://www.homedepot.com/p/342972128, friendlyName=Open Listing</x:v>
      </x:c>
      <x:c r="P4" s="17" t="str"/>
      <x:c r="Q4" s="17" t="str"/>
      <x:c r="R4" s="17" t="str"/>
      <x:c r="S4" s="17" t="str"/>
      <x:c r="T4" s="17" t="str"/>
      <x:c r="U4" s="17" t="str">
        <x:v>FALSE</x:v>
      </x:c>
      <x:c r="V4" s="17" t="str">
        <x:v>FALSE</x:v>
      </x:c>
      <x:c r="W4" s="17" t="str">
        <x:v>FALSE</x:v>
      </x:c>
      <x:c r="X4" s="17" t="str"/>
      <x:c r="Y4" s="17" t="n">
        <x:v>1</x:v>
      </x:c>
      <x:c r="Z4" s="17" t="str">
        <x:v>TRUE</x:v>
      </x:c>
      <x:c r="AA4" s="20" t="n">
        <x:v>75</x:v>
      </x:c>
      <x:c r="AB4" s="20" t="str">
        <x:v>PARTIAL_DATA</x:v>
      </x:c>
      <x:c r="AC4" s="17" t="str"/>
      <x:c r="AD4" s="17" t="str">
        <x:v>FALSE</x:v>
      </x:c>
      <x:c r="AE4" s="17" t="str"/>
      <x:c r="AF4" s="17" t="str">
        <x:v>runs/2026-07-23-biweekly-review-analysis/review_summary.json</x:v>
      </x:c>
      <x:c r="AG4" s="17" t="n">
        <x:v>3</x:v>
      </x:c>
      <x:c r="AH4" s="18" t="str"/>
      <x:c r="AI4" s="19" t="str">
        <x:v>Offline review only; no Listing URL was opened or verified.</x:v>
      </x:c>
    </x:row>
    <x:row r="5">
      <x:c r="A5" s="18" t="str">
        <x:v>NOT_REVIEWED</x:v>
      </x:c>
      <x:c r="B5" s="18" t="str"/>
      <x:c r="C5" s="17" t="str">
        <x:v>THD_WBP31TS</x:v>
      </x:c>
      <x:c r="D5" s="17" t="str">
        <x:v>FALSE</x:v>
      </x:c>
      <x:c r="E5" s="17" t="str">
        <x:v>THD</x:v>
      </x:c>
      <x:c r="F5" s="17" t="str">
        <x:v>THD</x:v>
      </x:c>
      <x:c r="G5" s="17" t="str">
        <x:v>MATCH</x:v>
      </x:c>
      <x:c r="H5" s="17" t="str">
        <x:v>WILD BADGER POWER</x:v>
      </x:c>
      <x:c r="I5" s="17" t="str">
        <x:v>String Trimmer</x:v>
      </x:c>
      <x:c r="J5" s="17" t="str">
        <x:v>WBP31TS</x:v>
      </x:c>
      <x:c r="K5" s="17" t="str"/>
      <x:c r="L5" s="17" t="str">
        <x:v>342971818</x:v>
      </x:c>
      <x:c r="M5" s="17" t="str">
        <x:v>31cc 17 in. 4-Stroke 31cc Gas Straight Shaft String Trimmer with Brush Cutter Blade, Rubber Handle and Extra Spool</x:v>
      </x:c>
      <x:c r="N5" s="17" t="str">
        <x:v>https://www.homedepot.com/p/342971818</x:v>
      </x:c>
      <x:c r="O5" s="17" t="e">
        <x:f>HYPERLINK(N5,"Open Listing")</x:f>
        <x:v>HYPERLINK is not implemented. linkLocation=https://www.homedepot.com/p/342971818, friendlyName=Open Listing</x:v>
      </x:c>
      <x:c r="P5" s="17" t="str"/>
      <x:c r="Q5" s="17" t="str"/>
      <x:c r="R5" s="17" t="str"/>
      <x:c r="S5" s="17" t="str"/>
      <x:c r="T5" s="17" t="str"/>
      <x:c r="U5" s="17" t="str">
        <x:v>FALSE</x:v>
      </x:c>
      <x:c r="V5" s="17" t="str">
        <x:v>FALSE</x:v>
      </x:c>
      <x:c r="W5" s="17" t="str">
        <x:v>FALSE</x:v>
      </x:c>
      <x:c r="X5" s="17" t="str"/>
      <x:c r="Y5" s="17" t="n">
        <x:v>1</x:v>
      </x:c>
      <x:c r="Z5" s="17" t="str">
        <x:v>TRUE</x:v>
      </x:c>
      <x:c r="AA5" s="20" t="n">
        <x:v>75</x:v>
      </x:c>
      <x:c r="AB5" s="20" t="str">
        <x:v>PARTIAL_DATA</x:v>
      </x:c>
      <x:c r="AC5" s="17" t="str"/>
      <x:c r="AD5" s="17" t="str">
        <x:v>FALSE</x:v>
      </x:c>
      <x:c r="AE5" s="17" t="str"/>
      <x:c r="AF5" s="17" t="str">
        <x:v>runs/2026-07-23-biweekly-review-analysis/review_summary.json</x:v>
      </x:c>
      <x:c r="AG5" s="17" t="n">
        <x:v>4</x:v>
      </x:c>
      <x:c r="AH5" s="18" t="str"/>
      <x:c r="AI5" s="19" t="str">
        <x:v>Offline review only; no Listing URL was opened or verified.</x:v>
      </x:c>
    </x:row>
    <x:row r="6">
      <x:c r="A6" s="18" t="str">
        <x:v>NOT_REVIEWED</x:v>
      </x:c>
      <x:c r="B6" s="18" t="str"/>
      <x:c r="C6" s="17" t="str">
        <x:v>THD_WB26GTC</x:v>
      </x:c>
      <x:c r="D6" s="17" t="str">
        <x:v>FALSE</x:v>
      </x:c>
      <x:c r="E6" s="17" t="str">
        <x:v>THD</x:v>
      </x:c>
      <x:c r="F6" s="17" t="str">
        <x:v>THD</x:v>
      </x:c>
      <x:c r="G6" s="17" t="str">
        <x:v>MATCH</x:v>
      </x:c>
      <x:c r="H6" s="17" t="str">
        <x:v>WILD BADGER POWER</x:v>
      </x:c>
      <x:c r="I6" s="17" t="str">
        <x:v>String Trimmer</x:v>
      </x:c>
      <x:c r="J6" s="17" t="str">
        <x:v>WB26GTC</x:v>
      </x:c>
      <x:c r="K6" s="17" t="str"/>
      <x:c r="L6" s="17" t="str">
        <x:v>325368686</x:v>
      </x:c>
      <x:c r="M6" s="17" t="str">
        <x:v>15in Cutting Width Gas 26cc Grass Trimmer with 60° Curved Shaft</x:v>
      </x:c>
      <x:c r="N6" s="17" t="str">
        <x:v>https://www.homedepot.com/p/325368686</x:v>
      </x:c>
      <x:c r="O6" s="17" t="e">
        <x:f>HYPERLINK(N6,"Open Listing")</x:f>
        <x:v>HYPERLINK is not implemented. linkLocation=https://www.homedepot.com/p/325368686, friendlyName=Open Listing</x:v>
      </x:c>
      <x:c r="P6" s="17" t="str"/>
      <x:c r="Q6" s="17" t="str"/>
      <x:c r="R6" s="17" t="str"/>
      <x:c r="S6" s="17" t="str"/>
      <x:c r="T6" s="17" t="str"/>
      <x:c r="U6" s="17" t="str">
        <x:v>FALSE</x:v>
      </x:c>
      <x:c r="V6" s="17" t="str">
        <x:v>FALSE</x:v>
      </x:c>
      <x:c r="W6" s="17" t="str">
        <x:v>FALSE</x:v>
      </x:c>
      <x:c r="X6" s="17" t="str"/>
      <x:c r="Y6" s="17" t="n">
        <x:v>2</x:v>
      </x:c>
      <x:c r="Z6" s="17" t="str">
        <x:v>TRUE</x:v>
      </x:c>
      <x:c r="AA6" s="20" t="n">
        <x:v>75</x:v>
      </x:c>
      <x:c r="AB6" s="20" t="str">
        <x:v>PARTIAL_DATA</x:v>
      </x:c>
      <x:c r="AC6" s="17" t="str"/>
      <x:c r="AD6" s="17" t="str">
        <x:v>FALSE</x:v>
      </x:c>
      <x:c r="AE6" s="17" t="str"/>
      <x:c r="AF6" s="17" t="str">
        <x:v>runs/2026-07-23-biweekly-review-analysis/review_summary.json</x:v>
      </x:c>
      <x:c r="AG6" s="17" t="n">
        <x:v>5</x:v>
      </x:c>
      <x:c r="AH6" s="18" t="str"/>
      <x:c r="AI6" s="19" t="str">
        <x:v>Offline review only; no Listing URL was opened or verified.</x:v>
      </x:c>
    </x:row>
    <x:row r="7">
      <x:c r="A7" s="18" t="str">
        <x:v>NOT_REVIEWED</x:v>
      </x:c>
      <x:c r="B7" s="18" t="str"/>
      <x:c r="C7" s="17" t="str">
        <x:v>THD_WBBPBL43</x:v>
      </x:c>
      <x:c r="D7" s="17" t="str">
        <x:v>FALSE</x:v>
      </x:c>
      <x:c r="E7" s="17" t="str">
        <x:v>THD</x:v>
      </x:c>
      <x:c r="F7" s="17" t="str">
        <x:v>THD</x:v>
      </x:c>
      <x:c r="G7" s="17" t="str">
        <x:v>MATCH</x:v>
      </x:c>
      <x:c r="H7" s="17" t="str">
        <x:v>WILD BADGER POWER</x:v>
      </x:c>
      <x:c r="I7" s="17" t="str">
        <x:v>Leaf Blower</x:v>
      </x:c>
      <x:c r="J7" s="17" t="str">
        <x:v>WBBPBL43</x:v>
      </x:c>
      <x:c r="K7" s="17" t="str"/>
      <x:c r="L7" s="17" t="str">
        <x:v>314742167</x:v>
      </x:c>
      <x:c r="M7" s="17" t="str">
        <x:v>Leaf Blower Backpack, 43cc Gas Strong Air Flow 650 CFM 152 MPH, Light Weight 17.4 lbs.</x:v>
      </x:c>
      <x:c r="N7" s="17" t="str">
        <x:v>https://www.homedepot.com/p/314742167</x:v>
      </x:c>
      <x:c r="O7" s="17" t="e">
        <x:f>HYPERLINK(N7,"Open Listing")</x:f>
        <x:v>HYPERLINK is not implemented. linkLocation=https://www.homedepot.com/p/314742167, friendlyName=Open Listing</x:v>
      </x:c>
      <x:c r="P7" s="17" t="str"/>
      <x:c r="Q7" s="17" t="str"/>
      <x:c r="R7" s="17" t="str"/>
      <x:c r="S7" s="17" t="str"/>
      <x:c r="T7" s="17" t="str"/>
      <x:c r="U7" s="17" t="str">
        <x:v>FALSE</x:v>
      </x:c>
      <x:c r="V7" s="17" t="str">
        <x:v>FALSE</x:v>
      </x:c>
      <x:c r="W7" s="17" t="str">
        <x:v>FALSE</x:v>
      </x:c>
      <x:c r="X7" s="17" t="str"/>
      <x:c r="Y7" s="17" t="n">
        <x:v>68</x:v>
      </x:c>
      <x:c r="Z7" s="17" t="str">
        <x:v>TRUE</x:v>
      </x:c>
      <x:c r="AA7" s="20" t="n">
        <x:v>75</x:v>
      </x:c>
      <x:c r="AB7" s="20" t="str">
        <x:v>PARTIAL_DATA</x:v>
      </x:c>
      <x:c r="AC7" s="17" t="str"/>
      <x:c r="AD7" s="17" t="str">
        <x:v>FALSE</x:v>
      </x:c>
      <x:c r="AE7" s="17" t="str"/>
      <x:c r="AF7" s="17" t="str">
        <x:v>runs/2026-07-23-biweekly-review-analysis/review_summary.json</x:v>
      </x:c>
      <x:c r="AG7" s="17" t="n">
        <x:v>6</x:v>
      </x:c>
      <x:c r="AH7" s="18" t="str"/>
      <x:c r="AI7" s="19" t="str">
        <x:v>Offline review only; no Listing URL was opened or verified.</x:v>
      </x:c>
    </x:row>
    <x:row r="8">
      <x:c r="A8" s="18" t="str">
        <x:v>NOT_REVIEWED</x:v>
      </x:c>
      <x:c r="B8" s="18" t="str"/>
      <x:c r="C8" s="17" t="str">
        <x:v>THD_WB53CULT</x:v>
      </x:c>
      <x:c r="D8" s="17" t="str">
        <x:v>FALSE</x:v>
      </x:c>
      <x:c r="E8" s="17" t="str">
        <x:v>THD</x:v>
      </x:c>
      <x:c r="F8" s="17" t="str">
        <x:v>THD</x:v>
      </x:c>
      <x:c r="G8" s="17" t="str">
        <x:v>MATCH</x:v>
      </x:c>
      <x:c r="H8" s="17" t="str">
        <x:v>WILD BADGER POWER</x:v>
      </x:c>
      <x:c r="I8" s="17" t="str">
        <x:v>Garden Tiller</x:v>
      </x:c>
      <x:c r="J8" s="17" t="str">
        <x:v>WB53CULT</x:v>
      </x:c>
      <x:c r="K8" s="17" t="str"/>
      <x:c r="L8" s="17" t="str">
        <x:v>337271637</x:v>
      </x:c>
      <x:c r="M8" s="17" t="str">
        <x:v>15 in. 53cc 2-Cycle Gas Powered Push Garden Tiller Cultivator</x:v>
      </x:c>
      <x:c r="N8" s="17" t="str">
        <x:v>https://www.homedepot.com/p/337271637</x:v>
      </x:c>
      <x:c r="O8" s="17" t="e">
        <x:f>HYPERLINK(N8,"Open Listing")</x:f>
        <x:v>HYPERLINK is not implemented. linkLocation=https://www.homedepot.com/p/337271637, friendlyName=Open Listing</x:v>
      </x:c>
      <x:c r="P8" s="17" t="str"/>
      <x:c r="Q8" s="17" t="str"/>
      <x:c r="R8" s="17" t="str"/>
      <x:c r="S8" s="17" t="str"/>
      <x:c r="T8" s="17" t="str"/>
      <x:c r="U8" s="17" t="str">
        <x:v>FALSE</x:v>
      </x:c>
      <x:c r="V8" s="17" t="str">
        <x:v>FALSE</x:v>
      </x:c>
      <x:c r="W8" s="17" t="str">
        <x:v>FALSE</x:v>
      </x:c>
      <x:c r="X8" s="17" t="str"/>
      <x:c r="Y8" s="17" t="n">
        <x:v>2</x:v>
      </x:c>
      <x:c r="Z8" s="17" t="str">
        <x:v>TRUE</x:v>
      </x:c>
      <x:c r="AA8" s="20" t="n">
        <x:v>75</x:v>
      </x:c>
      <x:c r="AB8" s="20" t="str">
        <x:v>PARTIAL_DATA</x:v>
      </x:c>
      <x:c r="AC8" s="17" t="str"/>
      <x:c r="AD8" s="17" t="str">
        <x:v>FALSE</x:v>
      </x:c>
      <x:c r="AE8" s="17" t="str"/>
      <x:c r="AF8" s="17" t="str">
        <x:v>runs/2026-07-23-biweekly-review-analysis/review_summary.json</x:v>
      </x:c>
      <x:c r="AG8" s="17" t="n">
        <x:v>7</x:v>
      </x:c>
      <x:c r="AH8" s="18" t="str"/>
      <x:c r="AI8" s="19" t="str">
        <x:v>Offline review only; no Listing URL was opened or verified.</x:v>
      </x:c>
    </x:row>
    <x:row r="9">
      <x:c r="A9" s="18" t="str">
        <x:v>NOT_REVIEWED</x:v>
      </x:c>
      <x:c r="B9" s="18" t="str"/>
      <x:c r="C9" s="17" t="str">
        <x:v>THD_WB52CCBPB</x:v>
      </x:c>
      <x:c r="D9" s="17" t="str">
        <x:v>FALSE</x:v>
      </x:c>
      <x:c r="E9" s="17" t="str">
        <x:v>THD</x:v>
      </x:c>
      <x:c r="F9" s="17" t="str">
        <x:v>THD</x:v>
      </x:c>
      <x:c r="G9" s="17" t="str">
        <x:v>MATCH</x:v>
      </x:c>
      <x:c r="H9" s="17" t="str">
        <x:v>WILD BADGER POWER</x:v>
      </x:c>
      <x:c r="I9" s="17" t="str">
        <x:v>Leaf Blower</x:v>
      </x:c>
      <x:c r="J9" s="17" t="str">
        <x:v>WB52CCBPB</x:v>
      </x:c>
      <x:c r="K9" s="17" t="str"/>
      <x:c r="L9" s="17" t="str">
        <x:v>325379597</x:v>
      </x:c>
      <x:c r="M9" s="17" t="str">
        <x:v>Gas 53cc Backpack Blower 175MPH 855CFM</x:v>
      </x:c>
      <x:c r="N9" s="17" t="str">
        <x:v>https://www.homedepot.com/p/325379597</x:v>
      </x:c>
      <x:c r="O9" s="17" t="e">
        <x:f>HYPERLINK(N9,"Open Listing")</x:f>
        <x:v>HYPERLINK is not implemented. linkLocation=https://www.homedepot.com/p/325379597, friendlyName=Open Listing</x:v>
      </x:c>
      <x:c r="P9" s="17" t="str"/>
      <x:c r="Q9" s="17" t="str"/>
      <x:c r="R9" s="17" t="str"/>
      <x:c r="S9" s="17" t="str"/>
      <x:c r="T9" s="17" t="str"/>
      <x:c r="U9" s="17" t="str">
        <x:v>FALSE</x:v>
      </x:c>
      <x:c r="V9" s="17" t="str">
        <x:v>FALSE</x:v>
      </x:c>
      <x:c r="W9" s="17" t="str">
        <x:v>FALSE</x:v>
      </x:c>
      <x:c r="X9" s="17" t="str"/>
      <x:c r="Y9" s="17" t="n">
        <x:v>1</x:v>
      </x:c>
      <x:c r="Z9" s="17" t="str">
        <x:v>TRUE</x:v>
      </x:c>
      <x:c r="AA9" s="20" t="n">
        <x:v>75</x:v>
      </x:c>
      <x:c r="AB9" s="20" t="str">
        <x:v>PARTIAL_DATA</x:v>
      </x:c>
      <x:c r="AC9" s="17" t="str"/>
      <x:c r="AD9" s="17" t="str">
        <x:v>FALSE</x:v>
      </x:c>
      <x:c r="AE9" s="17" t="str"/>
      <x:c r="AF9" s="17" t="str">
        <x:v>runs/2026-07-23-biweekly-review-analysis/review_summary.json</x:v>
      </x:c>
      <x:c r="AG9" s="17" t="n">
        <x:v>8</x:v>
      </x:c>
      <x:c r="AH9" s="18" t="str"/>
      <x:c r="AI9" s="19" t="str">
        <x:v>Offline review only; no Listing URL was opened or verified.</x:v>
      </x:c>
    </x:row>
    <x:row r="10">
      <x:c r="A10" s="18" t="str">
        <x:v>NOT_REVIEWED</x:v>
      </x:c>
      <x:c r="B10" s="18" t="str"/>
      <x:c r="C10" s="17" t="str">
        <x:v>THD_SKRMS4</x:v>
      </x:c>
      <x:c r="D10" s="17" t="str">
        <x:v>FALSE</x:v>
      </x:c>
      <x:c r="E10" s="17" t="str">
        <x:v>THD</x:v>
      </x:c>
      <x:c r="F10" s="17" t="str">
        <x:v>THD</x:v>
      </x:c>
      <x:c r="G10" s="17" t="str">
        <x:v>MATCH</x:v>
      </x:c>
      <x:c r="H10" s="17" t="str">
        <x:v>SUNSEEKER</x:v>
      </x:c>
      <x:c r="I10" s="17" t="str">
        <x:v>Robot Mower</x:v>
      </x:c>
      <x:c r="J10" s="17" t="str">
        <x:v>SKRMS4</x:v>
      </x:c>
      <x:c r="K10" s="17" t="str"/>
      <x:c r="L10" s="17" t="str">
        <x:v>343186124</x:v>
      </x:c>
      <x:c r="M10" s="17" t="str">
        <x:v>S4 LiDAR 7 in. Robot Lawn Mower for 0.25 Acre, Vision AI + 3D LiDAR Navigation, Wire-Free Boundary, App Control</x:v>
      </x:c>
      <x:c r="N10" s="17" t="str">
        <x:v>https://www.homedepot.com/p/343186124</x:v>
      </x:c>
      <x:c r="O10" s="17" t="e">
        <x:f>HYPERLINK(N10,"Open Listing")</x:f>
        <x:v>HYPERLINK is not implemented. linkLocation=https://www.homedepot.com/p/343186124, friendlyName=Open Listing</x:v>
      </x:c>
      <x:c r="P10" s="17" t="str"/>
      <x:c r="Q10" s="17" t="str"/>
      <x:c r="R10" s="17" t="str"/>
      <x:c r="S10" s="17" t="str"/>
      <x:c r="T10" s="17" t="str"/>
      <x:c r="U10" s="17" t="str">
        <x:v>FALSE</x:v>
      </x:c>
      <x:c r="V10" s="17" t="str">
        <x:v>FALSE</x:v>
      </x:c>
      <x:c r="W10" s="17" t="str">
        <x:v>FALSE</x:v>
      </x:c>
      <x:c r="X10" s="17" t="str"/>
      <x:c r="Y10" s="17" t="n">
        <x:v>0</x:v>
      </x:c>
      <x:c r="Z10" s="17" t="str">
        <x:v>TRUE</x:v>
      </x:c>
      <x:c r="AA10" s="20" t="n">
        <x:v>75</x:v>
      </x:c>
      <x:c r="AB10" s="20" t="str">
        <x:v>PARTIAL_DATA</x:v>
      </x:c>
      <x:c r="AC10" s="17" t="str"/>
      <x:c r="AD10" s="17" t="str">
        <x:v>FALSE</x:v>
      </x:c>
      <x:c r="AE10" s="17" t="str"/>
      <x:c r="AF10" s="17" t="str">
        <x:v>runs/2026-07-23-biweekly-review-analysis/review_summary.json</x:v>
      </x:c>
      <x:c r="AG10" s="17" t="n">
        <x:v>9</x:v>
      </x:c>
      <x:c r="AH10" s="18" t="str"/>
      <x:c r="AI10" s="19" t="str">
        <x:v>Offline review only; no Listing URL was opened or verified.</x:v>
      </x:c>
    </x:row>
    <x:row r="11">
      <x:c r="A11" s="18" t="str">
        <x:v>NOT_REVIEWED</x:v>
      </x:c>
      <x:c r="B11" s="18" t="str"/>
      <x:c r="C11" s="17" t="str">
        <x:v>THD_WBP52TS</x:v>
      </x:c>
      <x:c r="D11" s="17" t="str">
        <x:v>FALSE</x:v>
      </x:c>
      <x:c r="E11" s="17" t="str">
        <x:v>THD</x:v>
      </x:c>
      <x:c r="F11" s="17" t="str">
        <x:v>THD</x:v>
      </x:c>
      <x:c r="G11" s="17" t="str">
        <x:v>MATCH</x:v>
      </x:c>
      <x:c r="H11" s="17" t="str">
        <x:v>WILD BADGER POWER</x:v>
      </x:c>
      <x:c r="I11" s="17" t="str">
        <x:v>String Trimmer</x:v>
      </x:c>
      <x:c r="J11" s="17" t="str">
        <x:v>WBP52TS</x:v>
      </x:c>
      <x:c r="K11" s="17" t="str"/>
      <x:c r="L11" s="17" t="str">
        <x:v>342971888</x:v>
      </x:c>
      <x:c r="M11" s="17" t="str">
        <x:v>52 cc 2-in-1 2-Stroke Gas Straight Shaft Brush Cutter and String Hand Held Trimmer with Extra Spool</x:v>
      </x:c>
      <x:c r="N11" s="17" t="str">
        <x:v>https://www.homedepot.com/p/342971888</x:v>
      </x:c>
      <x:c r="O11" s="17" t="e">
        <x:f>HYPERLINK(N11,"Open Listing")</x:f>
        <x:v>HYPERLINK is not implemented. linkLocation=https://www.homedepot.com/p/342971888, friendlyName=Open Listing</x:v>
      </x:c>
      <x:c r="P11" s="17" t="str"/>
      <x:c r="Q11" s="17" t="str"/>
      <x:c r="R11" s="17" t="str"/>
      <x:c r="S11" s="17" t="str"/>
      <x:c r="T11" s="17" t="str"/>
      <x:c r="U11" s="17" t="str">
        <x:v>FALSE</x:v>
      </x:c>
      <x:c r="V11" s="17" t="str">
        <x:v>FALSE</x:v>
      </x:c>
      <x:c r="W11" s="17" t="str">
        <x:v>FALSE</x:v>
      </x:c>
      <x:c r="X11" s="17" t="str"/>
      <x:c r="Y11" s="17" t="n">
        <x:v>0</x:v>
      </x:c>
      <x:c r="Z11" s="17" t="str">
        <x:v>TRUE</x:v>
      </x:c>
      <x:c r="AA11" s="20" t="n">
        <x:v>75</x:v>
      </x:c>
      <x:c r="AB11" s="20" t="str">
        <x:v>PARTIAL_DATA</x:v>
      </x:c>
      <x:c r="AC11" s="17" t="str"/>
      <x:c r="AD11" s="17" t="str">
        <x:v>FALSE</x:v>
      </x:c>
      <x:c r="AE11" s="17" t="str"/>
      <x:c r="AF11" s="17" t="str">
        <x:v>runs/2026-07-23-biweekly-review-analysis/review_summary.json</x:v>
      </x:c>
      <x:c r="AG11" s="17" t="n">
        <x:v>10</x:v>
      </x:c>
      <x:c r="AH11" s="18" t="str"/>
      <x:c r="AI11" s="19" t="str">
        <x:v>Offline review only; no Listing URL was opened or verified.</x:v>
      </x:c>
    </x:row>
    <x:row r="12">
      <x:c r="A12" s="18" t="str">
        <x:v>NOT_REVIEWED</x:v>
      </x:c>
      <x:c r="B12" s="18" t="str"/>
      <x:c r="C12" s="17" t="str">
        <x:v>LOWES_ORIONX7</x:v>
      </x:c>
      <x:c r="D12" s="17" t="str">
        <x:v>FALSE</x:v>
      </x:c>
      <x:c r="E12" s="17" t="str">
        <x:v>LOWES</x:v>
      </x:c>
      <x:c r="F12" s="17" t="str">
        <x:v>LOWES</x:v>
      </x:c>
      <x:c r="G12" s="17" t="str">
        <x:v>MATCH</x:v>
      </x:c>
      <x:c r="H12" s="17" t="str">
        <x:v>SUNSEEKER</x:v>
      </x:c>
      <x:c r="I12" s="17" t="str">
        <x:v>Robot Mower</x:v>
      </x:c>
      <x:c r="J12" s="17" t="str">
        <x:v>ORIONX7</x:v>
      </x:c>
      <x:c r="K12" s="17" t="str"/>
      <x:c r="L12" s="17" t="str">
        <x:v>5016678663</x:v>
      </x:c>
      <x:c r="M12" s="17" t="str">
        <x:v>X7 Robotic Lawn Mower with GPS Assisted Navigation (1_SLASH_2 to 1 acre)</x:v>
      </x:c>
      <x:c r="N12" s="17" t="str">
        <x:v>https://www.lowes.com/pd/Sunseeker-X7-Robotic-Lawn-Mower-with-GPS-Assisted-Navigation-1-2-acre-to-1-acre/5016678663</x:v>
      </x:c>
      <x:c r="O12" s="17" t="e">
        <x:f>HYPERLINK(N12,"Open Listing")</x:f>
        <x:v>HYPERLINK is not implemented. linkLocation=https://www.lowes.com/pd/Sunseeker-X7-Robotic-Lawn-Mower-with-GPS-Assisted-Navigation-1-2-acre-to-1-acre/5016678663, friendlyName=Open Listing</x:v>
      </x:c>
      <x:c r="P12" s="17" t="str"/>
      <x:c r="Q12" s="17" t="str"/>
      <x:c r="R12" s="17" t="str"/>
      <x:c r="S12" s="17" t="str"/>
      <x:c r="T12" s="17" t="str"/>
      <x:c r="U12" s="17" t="str">
        <x:v>FALSE</x:v>
      </x:c>
      <x:c r="V12" s="17" t="str">
        <x:v>FALSE</x:v>
      </x:c>
      <x:c r="W12" s="17" t="str">
        <x:v>FALSE</x:v>
      </x:c>
      <x:c r="X12" s="17" t="str"/>
      <x:c r="Y12" s="17" t="n">
        <x:v>2</x:v>
      </x:c>
      <x:c r="Z12" s="17" t="str">
        <x:v>TRUE</x:v>
      </x:c>
      <x:c r="AA12" s="20" t="n">
        <x:v>75</x:v>
      </x:c>
      <x:c r="AB12" s="20" t="str">
        <x:v>PARTIAL_DATA</x:v>
      </x:c>
      <x:c r="AC12" s="17" t="str"/>
      <x:c r="AD12" s="17" t="str">
        <x:v>FALSE</x:v>
      </x:c>
      <x:c r="AE12" s="17" t="str"/>
      <x:c r="AF12" s="17" t="str">
        <x:v>runs/2026-07-23-biweekly-review-analysis/review_summary.json</x:v>
      </x:c>
      <x:c r="AG12" s="17" t="n">
        <x:v>11</x:v>
      </x:c>
      <x:c r="AH12" s="18" t="str"/>
      <x:c r="AI12" s="19" t="str">
        <x:v>Offline review only; no Listing URL was opened or verified.</x:v>
      </x:c>
    </x:row>
    <x:row r="13">
      <x:c r="A13" s="18" t="str">
        <x:v>NOT_REVIEWED</x:v>
      </x:c>
      <x:c r="B13" s="18" t="str"/>
      <x:c r="C13" s="17" t="str">
        <x:v>LOWES_RMA1202L20VU</x:v>
      </x:c>
      <x:c r="D13" s="17" t="str">
        <x:v>FALSE</x:v>
      </x:c>
      <x:c r="E13" s="17" t="str">
        <x:v>LOWES</x:v>
      </x:c>
      <x:c r="F13" s="17" t="str">
        <x:v>LOWES</x:v>
      </x:c>
      <x:c r="G13" s="17" t="str">
        <x:v>MATCH</x:v>
      </x:c>
      <x:c r="H13" s="17" t="str">
        <x:v>SUNSEEKER</x:v>
      </x:c>
      <x:c r="I13" s="17" t="str">
        <x:v>Robot Mower</x:v>
      </x:c>
      <x:c r="J13" s="17" t="str">
        <x:v>RMA1202L20VU</x:v>
      </x:c>
      <x:c r="K13" s="17" t="str"/>
      <x:c r="L13" s="17" t="str">
        <x:v>5014696123</x:v>
      </x:c>
      <x:c r="M13" s="17" t="str">
        <x:v>L22 Robotic Lawn Mower (1_SLASH_8 to 1_SLASH_4 acre)</x:v>
      </x:c>
      <x:c r="N13" s="17" t="str">
        <x:v>https://www.lowes.com/pd/Sunseeker-Robotic-Mower-Robotic-Lawn-Mower-Up-To-1-4-Acre/5014696123</x:v>
      </x:c>
      <x:c r="O13" s="17" t="e">
        <x:f>HYPERLINK(N13,"Open Listing")</x:f>
        <x:v>HYPERLINK is not implemented. linkLocation=https://www.lowes.com/pd/Sunseeker-Robotic-Mower-Robotic-Lawn-Mower-Up-To-1-4-Acre/5014696123, friendlyName=Open Listing</x:v>
      </x:c>
      <x:c r="P13" s="17" t="str"/>
      <x:c r="Q13" s="17" t="str"/>
      <x:c r="R13" s="17" t="str"/>
      <x:c r="S13" s="17" t="str"/>
      <x:c r="T13" s="17" t="str"/>
      <x:c r="U13" s="17" t="str">
        <x:v>FALSE</x:v>
      </x:c>
      <x:c r="V13" s="17" t="str">
        <x:v>FALSE</x:v>
      </x:c>
      <x:c r="W13" s="17" t="str">
        <x:v>FALSE</x:v>
      </x:c>
      <x:c r="X13" s="17" t="str"/>
      <x:c r="Y13" s="17" t="n">
        <x:v>1</x:v>
      </x:c>
      <x:c r="Z13" s="17" t="str">
        <x:v>TRUE</x:v>
      </x:c>
      <x:c r="AA13" s="20" t="n">
        <x:v>75</x:v>
      </x:c>
      <x:c r="AB13" s="20" t="str">
        <x:v>PARTIAL_DATA</x:v>
      </x:c>
      <x:c r="AC13" s="17" t="str"/>
      <x:c r="AD13" s="17" t="str">
        <x:v>FALSE</x:v>
      </x:c>
      <x:c r="AE13" s="17" t="str"/>
      <x:c r="AF13" s="17" t="str">
        <x:v>runs/2026-07-23-biweekly-review-analysis/review_summary.json</x:v>
      </x:c>
      <x:c r="AG13" s="17" t="n">
        <x:v>12</x:v>
      </x:c>
      <x:c r="AH13" s="18" t="str"/>
      <x:c r="AI13" s="19" t="str">
        <x:v>Offline review only; no Listing URL was opened or verified.</x:v>
      </x:c>
    </x:row>
    <x:row r="14">
      <x:c r="A14" s="18" t="str">
        <x:v>NOT_REVIEWED</x:v>
      </x:c>
      <x:c r="B14" s="18" t="str"/>
      <x:c r="C14" s="17" t="str">
        <x:v>LOWES_WB20V16LM</x:v>
      </x:c>
      <x:c r="D14" s="17" t="str">
        <x:v>FALSE</x:v>
      </x:c>
      <x:c r="E14" s="17" t="str">
        <x:v>LOWES</x:v>
      </x:c>
      <x:c r="F14" s="17" t="str">
        <x:v>LOWES</x:v>
      </x:c>
      <x:c r="G14" s="17" t="str">
        <x:v>MATCH</x:v>
      </x:c>
      <x:c r="H14" s="17" t="str">
        <x:v>WILD BADGER POWER</x:v>
      </x:c>
      <x:c r="I14" s="17" t="str">
        <x:v>Lawn Mower</x:v>
      </x:c>
      <x:c r="J14" s="17" t="str">
        <x:v>WB20V16LM</x:v>
      </x:c>
      <x:c r="K14" s="17" t="str"/>
      <x:c r="L14" s="17" t="str">
        <x:v>5014394923</x:v>
      </x:c>
      <x:c r="M14" s="17" t="str">
        <x:v>20 Volt, 16-in Push Battery Walk Mower with  (2) 4 Ah Batteries Included</x:v>
      </x:c>
      <x:c r="N14" s="17" t="str">
        <x:v>https://www.lowes.com/pd/Wild-Badger-Power-20-volt-16-in-Push-Cordless-Lawn-Mower-4-Ah-Battery-Charger-Included/5014394923</x:v>
      </x:c>
      <x:c r="O14" s="17" t="e">
        <x:f>HYPERLINK(N14,"Open Listing")</x:f>
        <x:v>HYPERLINK is not implemented. linkLocation=https://www.lowes.com/pd/Wild-Badger-Power-20-volt-16-in-Push-Cordless-Lawn-Mower-4-Ah-Battery-Charger-Included/5014394923, friendlyName=Open Listing</x:v>
      </x:c>
      <x:c r="P14" s="17" t="str"/>
      <x:c r="Q14" s="17" t="str"/>
      <x:c r="R14" s="17" t="str"/>
      <x:c r="S14" s="17" t="str"/>
      <x:c r="T14" s="17" t="str"/>
      <x:c r="U14" s="17" t="str">
        <x:v>FALSE</x:v>
      </x:c>
      <x:c r="V14" s="17" t="str">
        <x:v>FALSE</x:v>
      </x:c>
      <x:c r="W14" s="17" t="str">
        <x:v>FALSE</x:v>
      </x:c>
      <x:c r="X14" s="17" t="str"/>
      <x:c r="Y14" s="17" t="n">
        <x:v>31</x:v>
      </x:c>
      <x:c r="Z14" s="17" t="str">
        <x:v>TRUE</x:v>
      </x:c>
      <x:c r="AA14" s="20" t="n">
        <x:v>75</x:v>
      </x:c>
      <x:c r="AB14" s="20" t="str">
        <x:v>PARTIAL_DATA</x:v>
      </x:c>
      <x:c r="AC14" s="17" t="str"/>
      <x:c r="AD14" s="17" t="str">
        <x:v>FALSE</x:v>
      </x:c>
      <x:c r="AE14" s="17" t="str"/>
      <x:c r="AF14" s="17" t="str">
        <x:v>runs/2026-07-23-biweekly-review-analysis/review_summary.json</x:v>
      </x:c>
      <x:c r="AG14" s="17" t="n">
        <x:v>13</x:v>
      </x:c>
      <x:c r="AH14" s="18" t="str"/>
      <x:c r="AI14" s="19" t="str">
        <x:v>Offline review only; no Listing URL was opened or verified.</x:v>
      </x:c>
    </x:row>
    <x:row r="15">
      <x:c r="A15" s="18" t="str">
        <x:v>NOT_REVIEWED</x:v>
      </x:c>
      <x:c r="B15" s="18" t="str"/>
      <x:c r="C15" s="17" t="str">
        <x:v>LOWES_SKRMV3</x:v>
      </x:c>
      <x:c r="D15" s="17" t="str">
        <x:v>FALSE</x:v>
      </x:c>
      <x:c r="E15" s="17" t="str">
        <x:v>LOWES</x:v>
      </x:c>
      <x:c r="F15" s="17" t="str">
        <x:v>LOWES</x:v>
      </x:c>
      <x:c r="G15" s="17" t="str">
        <x:v>MATCH</x:v>
      </x:c>
      <x:c r="H15" s="17" t="str">
        <x:v>SUNSEEKER</x:v>
      </x:c>
      <x:c r="I15" s="17" t="str">
        <x:v>Robot Mower</x:v>
      </x:c>
      <x:c r="J15" s="17" t="str">
        <x:v>SKRMV3</x:v>
      </x:c>
      <x:c r="K15" s="17" t="str"/>
      <x:c r="L15" s="17" t="str">
        <x:v>5016678667</x:v>
      </x:c>
      <x:c r="M15" s="17" t="str">
        <x:v>V3 Robotic Lawn Mower with GPS Assisted Navigation (Up to 1_SLASH_8 acre)</x:v>
      </x:c>
      <x:c r="N15" s="17" t="str">
        <x:v>https://www.lowes.com/pd/Sunseeker-V3-Robotic-Lawn-Mower-with-GPS-Assisted-Navigation-Up-to-1-8-acre/5016678667</x:v>
      </x:c>
      <x:c r="O15" s="17" t="e">
        <x:f>HYPERLINK(N15,"Open Listing")</x:f>
        <x:v>HYPERLINK is not implemented. linkLocation=https://www.lowes.com/pd/Sunseeker-V3-Robotic-Lawn-Mower-with-GPS-Assisted-Navigation-Up-to-1-8-acre/5016678667, friendlyName=Open Listing</x:v>
      </x:c>
      <x:c r="P15" s="17" t="str"/>
      <x:c r="Q15" s="17" t="str"/>
      <x:c r="R15" s="17" t="str"/>
      <x:c r="S15" s="17" t="str"/>
      <x:c r="T15" s="17" t="str"/>
      <x:c r="U15" s="17" t="str">
        <x:v>FALSE</x:v>
      </x:c>
      <x:c r="V15" s="17" t="str">
        <x:v>FALSE</x:v>
      </x:c>
      <x:c r="W15" s="17" t="str">
        <x:v>FALSE</x:v>
      </x:c>
      <x:c r="X15" s="17" t="str"/>
      <x:c r="Y15" s="17" t="n">
        <x:v>0</x:v>
      </x:c>
      <x:c r="Z15" s="17" t="str">
        <x:v>TRUE</x:v>
      </x:c>
      <x:c r="AA15" s="20" t="n">
        <x:v>75</x:v>
      </x:c>
      <x:c r="AB15" s="20" t="str">
        <x:v>PARTIAL_DATA</x:v>
      </x:c>
      <x:c r="AC15" s="17" t="str"/>
      <x:c r="AD15" s="17" t="str">
        <x:v>FALSE</x:v>
      </x:c>
      <x:c r="AE15" s="17" t="str"/>
      <x:c r="AF15" s="17" t="str">
        <x:v>runs/2026-07-23-biweekly-review-analysis/review_summary.json</x:v>
      </x:c>
      <x:c r="AG15" s="17" t="n">
        <x:v>14</x:v>
      </x:c>
      <x:c r="AH15" s="18" t="str"/>
      <x:c r="AI15" s="19" t="str">
        <x:v>Offline review only; no Listing URL was opened or verified.</x:v>
      </x:c>
    </x:row>
    <x:row r="16">
      <x:c r="A16" s="18" t="str">
        <x:v>NOT_REVIEWED</x:v>
      </x:c>
      <x:c r="B16" s="18" t="str"/>
      <x:c r="C16" s="17" t="str">
        <x:v>LOWES_WB40V18PLM</x:v>
      </x:c>
      <x:c r="D16" s="17" t="str">
        <x:v>FALSE</x:v>
      </x:c>
      <x:c r="E16" s="17" t="str">
        <x:v>LOWES</x:v>
      </x:c>
      <x:c r="F16" s="17" t="str">
        <x:v>LOWES</x:v>
      </x:c>
      <x:c r="G16" s="17" t="str">
        <x:v>MATCH</x:v>
      </x:c>
      <x:c r="H16" s="17" t="str">
        <x:v>WILD BADGER POWER</x:v>
      </x:c>
      <x:c r="I16" s="17" t="str">
        <x:v>Lawn Mower</x:v>
      </x:c>
      <x:c r="J16" s="17" t="str">
        <x:v>WB40V18PLM</x:v>
      </x:c>
      <x:c r="K16" s="17" t="str"/>
      <x:c r="L16" s="17" t="str">
        <x:v>5014466573</x:v>
      </x:c>
      <x:c r="M16" s="17" t="str">
        <x:v>Brushless 40-volt, 18-in Push Battery Walk Mower with  (1) 4 Ah Battery Included</x:v>
      </x:c>
      <x:c r="N16" s="17" t="str">
        <x:v>https://www.lowes.com/pd/Wild-Badger-Power-40-Volt-40-volt-18-in-Push-Cordless-Lawn-Mower-4-Ah-Battery-Charger-Included/5014466573</x:v>
      </x:c>
      <x:c r="O16" s="17" t="e">
        <x:f>HYPERLINK(N16,"Open Listing")</x:f>
        <x:v>HYPERLINK is not implemented. linkLocation=https://www.lowes.com/pd/Wild-Badger-Power-40-Volt-40-volt-18-in-Push-Cordless-Lawn-Mower-4-Ah-Battery-Charger-Included/5014466573, friendlyName=Open Listing</x:v>
      </x:c>
      <x:c r="P16" s="17" t="str"/>
      <x:c r="Q16" s="17" t="str"/>
      <x:c r="R16" s="17" t="str"/>
      <x:c r="S16" s="17" t="str"/>
      <x:c r="T16" s="17" t="str"/>
      <x:c r="U16" s="17" t="str">
        <x:v>FALSE</x:v>
      </x:c>
      <x:c r="V16" s="17" t="str">
        <x:v>FALSE</x:v>
      </x:c>
      <x:c r="W16" s="17" t="str">
        <x:v>FALSE</x:v>
      </x:c>
      <x:c r="X16" s="17" t="str"/>
      <x:c r="Y16" s="17" t="n">
        <x:v>31</x:v>
      </x:c>
      <x:c r="Z16" s="17" t="str">
        <x:v>TRUE</x:v>
      </x:c>
      <x:c r="AA16" s="20" t="n">
        <x:v>75</x:v>
      </x:c>
      <x:c r="AB16" s="20" t="str">
        <x:v>PARTIAL_DATA</x:v>
      </x:c>
      <x:c r="AC16" s="17" t="str"/>
      <x:c r="AD16" s="17" t="str">
        <x:v>FALSE</x:v>
      </x:c>
      <x:c r="AE16" s="17" t="str"/>
      <x:c r="AF16" s="17" t="str">
        <x:v>runs/2026-07-23-biweekly-review-analysis/review_summary.json</x:v>
      </x:c>
      <x:c r="AG16" s="17" t="n">
        <x:v>15</x:v>
      </x:c>
      <x:c r="AH16" s="18" t="str"/>
      <x:c r="AI16" s="19" t="str">
        <x:v>Offline review only; no Listing URL was opened or verified.</x:v>
      </x:c>
    </x:row>
    <x:row r="17">
      <x:c r="A17" s="18" t="str">
        <x:v>NOT_REVIEWED</x:v>
      </x:c>
      <x:c r="B17" s="18" t="str"/>
      <x:c r="C17" s="17" t="str">
        <x:v>LOWES_SKRMX3PLUS</x:v>
      </x:c>
      <x:c r="D17" s="17" t="str">
        <x:v>FALSE</x:v>
      </x:c>
      <x:c r="E17" s="17" t="str">
        <x:v>LOWES</x:v>
      </x:c>
      <x:c r="F17" s="17" t="str">
        <x:v>LOWES</x:v>
      </x:c>
      <x:c r="G17" s="17" t="str">
        <x:v>MATCH</x:v>
      </x:c>
      <x:c r="H17" s="17" t="str">
        <x:v>SUNSEEKER</x:v>
      </x:c>
      <x:c r="I17" s="17" t="str">
        <x:v>Robot Mower</x:v>
      </x:c>
      <x:c r="J17" s="17" t="str">
        <x:v>SKRMX3PLUS</x:v>
      </x:c>
      <x:c r="K17" s="17" t="str"/>
      <x:c r="L17" s="17" t="str">
        <x:v>5016678665</x:v>
      </x:c>
      <x:c r="M17" s="17" t="str">
        <x:v>X3 PLUS Robotic Lawn Mower with GPS Assisted Navigation (1_SLASH_4 to 1_SLASH_2 acre)</x:v>
      </x:c>
      <x:c r="N17" s="17" t="str">
        <x:v>https://www.lowes.com/pd/Sunseeker-X3-PLUS-Robotic-Lawn-Mower-with-GPS-Assisted-Navigation-1-4-acre-to-1-2-acre/5016678665</x:v>
      </x:c>
      <x:c r="O17" s="17" t="e">
        <x:f>HYPERLINK(N17,"Open Listing")</x:f>
        <x:v>HYPERLINK is not implemented. linkLocation=https://www.lowes.com/pd/Sunseeker-X3-PLUS-Robotic-Lawn-Mower-with-GPS-Assisted-Navigation-1-4-acre-to-1-2-acre/5016678665, friendlyName=Open Listing</x:v>
      </x:c>
      <x:c r="P17" s="17" t="str"/>
      <x:c r="Q17" s="17" t="str"/>
      <x:c r="R17" s="17" t="str"/>
      <x:c r="S17" s="17" t="str"/>
      <x:c r="T17" s="17" t="str"/>
      <x:c r="U17" s="17" t="str">
        <x:v>FALSE</x:v>
      </x:c>
      <x:c r="V17" s="17" t="str">
        <x:v>FALSE</x:v>
      </x:c>
      <x:c r="W17" s="17" t="str">
        <x:v>FALSE</x:v>
      </x:c>
      <x:c r="X17" s="17" t="str"/>
      <x:c r="Y17" s="17" t="n">
        <x:v>1</x:v>
      </x:c>
      <x:c r="Z17" s="17" t="str">
        <x:v>TRUE</x:v>
      </x:c>
      <x:c r="AA17" s="20" t="n">
        <x:v>75</x:v>
      </x:c>
      <x:c r="AB17" s="20" t="str">
        <x:v>PARTIAL_DATA</x:v>
      </x:c>
      <x:c r="AC17" s="17" t="str"/>
      <x:c r="AD17" s="17" t="str">
        <x:v>FALSE</x:v>
      </x:c>
      <x:c r="AE17" s="17" t="str"/>
      <x:c r="AF17" s="17" t="str">
        <x:v>runs/2026-07-23-biweekly-review-analysis/review_summary.json</x:v>
      </x:c>
      <x:c r="AG17" s="17" t="n">
        <x:v>16</x:v>
      </x:c>
      <x:c r="AH17" s="18" t="str"/>
      <x:c r="AI17" s="19" t="str">
        <x:v>Offline review only; no Listing URL was opened or verified.</x:v>
      </x:c>
    </x:row>
    <x:row r="18">
      <x:c r="A18" s="18" t="str">
        <x:v>NOT_REVIEWED</x:v>
      </x:c>
      <x:c r="B18" s="18" t="str"/>
      <x:c r="C18" s="17" t="str">
        <x:v>LOWES_WB40V14PLM</x:v>
      </x:c>
      <x:c r="D18" s="17" t="str">
        <x:v>FALSE</x:v>
      </x:c>
      <x:c r="E18" s="17" t="str">
        <x:v>LOWES</x:v>
      </x:c>
      <x:c r="F18" s="17" t="str">
        <x:v>LOWES</x:v>
      </x:c>
      <x:c r="G18" s="17" t="str">
        <x:v>MATCH</x:v>
      </x:c>
      <x:c r="H18" s="17" t="str">
        <x:v>WILD BADGER POWER</x:v>
      </x:c>
      <x:c r="I18" s="17" t="str">
        <x:v>Lawn Mower</x:v>
      </x:c>
      <x:c r="J18" s="17" t="str">
        <x:v>WB40V14PLM</x:v>
      </x:c>
      <x:c r="K18" s="17" t="str"/>
      <x:c r="L18" s="17" t="str">
        <x:v>6595295</x:v>
      </x:c>
      <x:c r="M18" s="17" t="str"/>
      <x:c r="N18" s="17" t="str">
        <x:v>https://www.lowes.com/pd/Wild-Badger-Power-Cordless-40-volt-14-in-Cordless-Push-Lawn-Mower-4-Ah-1-Battery-and-Charger-Included/6595295</x:v>
      </x:c>
      <x:c r="O18" s="17" t="e">
        <x:f>HYPERLINK(N18,"Open Listing")</x:f>
        <x:v>HYPERLINK is not implemented. linkLocation=https://www.lowes.com/pd/Wild-Badger-Power-Cordless-40-volt-14-in-Cordless-Push-Lawn-Mower-4-Ah-1-Battery-and-Charger-Included/6595295, friendlyName=Open Listing</x:v>
      </x:c>
      <x:c r="P18" s="17" t="str"/>
      <x:c r="Q18" s="17" t="str"/>
      <x:c r="R18" s="17" t="str"/>
      <x:c r="S18" s="17" t="str"/>
      <x:c r="T18" s="17" t="str"/>
      <x:c r="U18" s="17" t="str">
        <x:v>FALSE</x:v>
      </x:c>
      <x:c r="V18" s="17" t="str">
        <x:v>FALSE</x:v>
      </x:c>
      <x:c r="W18" s="17" t="str">
        <x:v>FALSE</x:v>
      </x:c>
      <x:c r="X18" s="17" t="str"/>
      <x:c r="Y18" s="17" t="n">
        <x:v>0</x:v>
      </x:c>
      <x:c r="Z18" s="17" t="str">
        <x:v>TRUE</x:v>
      </x:c>
      <x:c r="AA18" s="20" t="n">
        <x:v>70</x:v>
      </x:c>
      <x:c r="AB18" s="20" t="str">
        <x:v>PARTIAL_DATA</x:v>
      </x:c>
      <x:c r="AC18" s="17" t="str"/>
      <x:c r="AD18" s="17" t="str">
        <x:v>FALSE</x:v>
      </x:c>
      <x:c r="AE18" s="17" t="str"/>
      <x:c r="AF18" s="17" t="str">
        <x:v>runs/2026-07-23-biweekly-review-analysis/review_summary.json</x:v>
      </x:c>
      <x:c r="AG18" s="17" t="n">
        <x:v>17</x:v>
      </x:c>
      <x:c r="AH18" s="18" t="str"/>
      <x:c r="AI18" s="19" t="str">
        <x:v>Offline review only; no Listing URL was opened or verified.</x:v>
      </x:c>
    </x:row>
    <x:row r="19">
      <x:c r="A19" s="18" t="str">
        <x:v>NOT_REVIEWED</x:v>
      </x:c>
      <x:c r="B19" s="18" t="str"/>
      <x:c r="C19" s="17" t="str">
        <x:v>LOWES_WB20VTRSBL</x:v>
      </x:c>
      <x:c r="D19" s="17" t="str">
        <x:v>FALSE</x:v>
      </x:c>
      <x:c r="E19" s="17" t="str">
        <x:v>LOWES</x:v>
      </x:c>
      <x:c r="F19" s="17" t="str">
        <x:v>LOWES</x:v>
      </x:c>
      <x:c r="G19" s="17" t="str">
        <x:v>MATCH</x:v>
      </x:c>
      <x:c r="H19" s="17" t="str">
        <x:v>WILD BADGER POWER</x:v>
      </x:c>
      <x:c r="I19" s="17" t="str">
        <x:v>String Trimmer</x:v>
      </x:c>
      <x:c r="J19" s="17" t="str">
        <x:v>WB20VTRSBL</x:v>
      </x:c>
      <x:c r="K19" s="17" t="str"/>
      <x:c r="L19" s="17" t="str">
        <x:v>5014472275</x:v>
      </x:c>
      <x:c r="M19" s="17" t="str">
        <x:v>20 Volt 20-volt Cordless Battery String Trimmer and Leaf Blower and Combo Kit 2 Ah (Battery Included) (Charger Included)</x:v>
      </x:c>
      <x:c r="N19" s="17" t="str">
        <x:v>https://www.lowes.com/pd/Wild-Badger-Power-20-Volt-2-Piece-20-volt-Cordless-Power-Equipment-Combo-Kit/5014472275</x:v>
      </x:c>
      <x:c r="O19" s="17" t="e">
        <x:f>HYPERLINK(N19,"Open Listing")</x:f>
        <x:v>HYPERLINK is not implemented. linkLocation=https://www.lowes.com/pd/Wild-Badger-Power-20-Volt-2-Piece-20-volt-Cordless-Power-Equipment-Combo-Kit/5014472275, friendlyName=Open Listing</x:v>
      </x:c>
      <x:c r="P19" s="17" t="str"/>
      <x:c r="Q19" s="17" t="str"/>
      <x:c r="R19" s="17" t="str"/>
      <x:c r="S19" s="17" t="str"/>
      <x:c r="T19" s="17" t="str"/>
      <x:c r="U19" s="17" t="str">
        <x:v>FALSE</x:v>
      </x:c>
      <x:c r="V19" s="17" t="str">
        <x:v>FALSE</x:v>
      </x:c>
      <x:c r="W19" s="17" t="str">
        <x:v>FALSE</x:v>
      </x:c>
      <x:c r="X19" s="17" t="str"/>
      <x:c r="Y19" s="17" t="n">
        <x:v>3</x:v>
      </x:c>
      <x:c r="Z19" s="17" t="str">
        <x:v>TRUE</x:v>
      </x:c>
      <x:c r="AA19" s="20" t="n">
        <x:v>75</x:v>
      </x:c>
      <x:c r="AB19" s="20" t="str">
        <x:v>PARTIAL_DATA</x:v>
      </x:c>
      <x:c r="AC19" s="17" t="str"/>
      <x:c r="AD19" s="17" t="str">
        <x:v>FALSE</x:v>
      </x:c>
      <x:c r="AE19" s="17" t="str"/>
      <x:c r="AF19" s="17" t="str">
        <x:v>runs/2026-07-23-biweekly-review-analysis/review_summary.json</x:v>
      </x:c>
      <x:c r="AG19" s="17" t="n">
        <x:v>18</x:v>
      </x:c>
      <x:c r="AH19" s="18" t="str"/>
      <x:c r="AI19" s="19" t="str">
        <x:v>Offline review only; no Listing URL was opened or verified.</x:v>
      </x:c>
    </x:row>
    <x:row r="20">
      <x:c r="A20" s="18" t="str">
        <x:v>NOT_REVIEWED</x:v>
      </x:c>
      <x:c r="B20" s="18" t="str"/>
      <x:c r="C20" s="17" t="str">
        <x:v>LOWES_WB20VPS</x:v>
      </x:c>
      <x:c r="D20" s="17" t="str">
        <x:v>FALSE</x:v>
      </x:c>
      <x:c r="E20" s="17" t="str">
        <x:v>LOWES</x:v>
      </x:c>
      <x:c r="F20" s="17" t="str">
        <x:v>LOWES</x:v>
      </x:c>
      <x:c r="G20" s="17" t="str">
        <x:v>MATCH</x:v>
      </x:c>
      <x:c r="H20" s="17" t="str">
        <x:v>WILD BADGER POWER</x:v>
      </x:c>
      <x:c r="I20" s="17" t="str">
        <x:v>Pole Saws</x:v>
      </x:c>
      <x:c r="J20" s="17" t="str">
        <x:v>WB20VPS</x:v>
      </x:c>
      <x:c r="K20" s="17" t="str"/>
      <x:c r="L20" s="17" t="str">
        <x:v>5001889319</x:v>
      </x:c>
      <x:c r="M20" s="17" t="str">
        <x:v>20 Volt 20-volt 8.0-in 2.0 Ah Battery Pole Saw Battery Included , Charger Included</x:v>
      </x:c>
      <x:c r="N20" s="17" t="str">
        <x:v>https://www.lowes.com/pd/Badger-20-Volt-Lithium-Ion-Pole-Saw-Extendable-to-Over-6-ft-with-2-0-Ah-Battery-and-Charger/5001889319?idProductFound=false&amp;idExtracted=true</x:v>
      </x:c>
      <x:c r="O20" s="17" t="e">
        <x:f>HYPERLINK(N20,"Open Listing")</x:f>
        <x:v>HYPERLINK is not implemented. linkLocation=https://www.lowes.com/pd/Badger-20-Volt-Lithium-Ion-Pole-Saw-Extendable-to-Over-6-ft-with-2-0-Ah-Battery-and-Charger/5001889319?idProductFound=false&amp;idExtracted=true, friendlyName=Open Listing</x:v>
      </x:c>
      <x:c r="P20" s="17" t="str"/>
      <x:c r="Q20" s="17" t="str"/>
      <x:c r="R20" s="17" t="str"/>
      <x:c r="S20" s="17" t="str"/>
      <x:c r="T20" s="17" t="str"/>
      <x:c r="U20" s="17" t="str">
        <x:v>FALSE</x:v>
      </x:c>
      <x:c r="V20" s="17" t="str">
        <x:v>FALSE</x:v>
      </x:c>
      <x:c r="W20" s="17" t="str">
        <x:v>FALSE</x:v>
      </x:c>
      <x:c r="X20" s="17" t="str"/>
      <x:c r="Y20" s="17" t="n">
        <x:v>1</x:v>
      </x:c>
      <x:c r="Z20" s="17" t="str">
        <x:v>TRUE</x:v>
      </x:c>
      <x:c r="AA20" s="20" t="n">
        <x:v>75</x:v>
      </x:c>
      <x:c r="AB20" s="20" t="str">
        <x:v>PARTIAL_DATA</x:v>
      </x:c>
      <x:c r="AC20" s="17" t="str"/>
      <x:c r="AD20" s="17" t="str">
        <x:v>FALSE</x:v>
      </x:c>
      <x:c r="AE20" s="17" t="str"/>
      <x:c r="AF20" s="17" t="str">
        <x:v>runs/2026-07-23-biweekly-review-analysis/review_summary.json</x:v>
      </x:c>
      <x:c r="AG20" s="17" t="n">
        <x:v>19</x:v>
      </x:c>
      <x:c r="AH20" s="18" t="str"/>
      <x:c r="AI20" s="19" t="str">
        <x:v>Offline review only; no Listing URL was opened or verified.</x:v>
      </x:c>
    </x:row>
    <x:row r="21">
      <x:c r="A21" s="18" t="str">
        <x:v>NOT_REVIEWED</x:v>
      </x:c>
      <x:c r="B21" s="18" t="str"/>
      <x:c r="C21" s="17" t="str">
        <x:v>LOWES_WB20VTAB</x:v>
      </x:c>
      <x:c r="D21" s="17" t="str">
        <x:v>FALSE</x:v>
      </x:c>
      <x:c r="E21" s="17" t="str">
        <x:v>LOWES</x:v>
      </x:c>
      <x:c r="F21" s="17" t="str">
        <x:v>LOWES</x:v>
      </x:c>
      <x:c r="G21" s="17" t="str">
        <x:v>MATCH</x:v>
      </x:c>
      <x:c r="H21" s="17" t="str">
        <x:v>WILD BADGER POWER</x:v>
      </x:c>
      <x:c r="I21" s="17" t="str">
        <x:v>String Trimmers</x:v>
      </x:c>
      <x:c r="J21" s="17" t="str">
        <x:v>WB20VTAB</x:v>
      </x:c>
      <x:c r="K21" s="17" t="str"/>
      <x:c r="L21" s="17" t="str">
        <x:v>5001743443</x:v>
      </x:c>
      <x:c r="M21" s="17" t="str">
        <x:v>20-volt 12-in Straight Shaft Battery String Trimmer Edger Conversion Capable 2 Ah (Battery Included) (Charger Included)</x:v>
      </x:c>
      <x:c r="N21" s="17" t="str">
        <x:v>https://www.lowes.com/pd/Badger-Badger-20-Volt-Lithium-Ion-Sting-Trimmer-Edger-and-Sweeper-Blower-with-2-0-Ah-Battery-and-Charger/5001743443?idProductFound=false&amp;idExtracted=true</x:v>
      </x:c>
      <x:c r="O21" s="17" t="e">
        <x:f>HYPERLINK(N21,"Open Listing")</x:f>
        <x:v>HYPERLINK is not implemented. linkLocation=https://www.lowes.com/pd/Badger-Badger-20-Volt-Lithium-Ion-Sting-Trimmer-Edger-and-Sweeper-Blower-with-2-0-Ah-Battery-and-Charger/5001743443?idProductFound=false&amp;idExtracted=true, friendlyName=Open Listing</x:v>
      </x:c>
      <x:c r="P21" s="17" t="str"/>
      <x:c r="Q21" s="17" t="str"/>
      <x:c r="R21" s="17" t="str"/>
      <x:c r="S21" s="17" t="str"/>
      <x:c r="T21" s="17" t="str"/>
      <x:c r="U21" s="17" t="str">
        <x:v>FALSE</x:v>
      </x:c>
      <x:c r="V21" s="17" t="str">
        <x:v>FALSE</x:v>
      </x:c>
      <x:c r="W21" s="17" t="str">
        <x:v>FALSE</x:v>
      </x:c>
      <x:c r="X21" s="17" t="str"/>
      <x:c r="Y21" s="17" t="n">
        <x:v>12</x:v>
      </x:c>
      <x:c r="Z21" s="17" t="str">
        <x:v>TRUE</x:v>
      </x:c>
      <x:c r="AA21" s="20" t="n">
        <x:v>75</x:v>
      </x:c>
      <x:c r="AB21" s="20" t="str">
        <x:v>PARTIAL_DATA</x:v>
      </x:c>
      <x:c r="AC21" s="17" t="str"/>
      <x:c r="AD21" s="17" t="str">
        <x:v>FALSE</x:v>
      </x:c>
      <x:c r="AE21" s="17" t="str"/>
      <x:c r="AF21" s="17" t="str">
        <x:v>runs/2026-07-23-biweekly-review-analysis/review_summary.json</x:v>
      </x:c>
      <x:c r="AG21" s="17" t="n">
        <x:v>20</x:v>
      </x:c>
      <x:c r="AH21" s="18" t="str"/>
      <x:c r="AI21" s="19" t="str">
        <x:v>Offline review only; no Listing URL was opened or verified.</x:v>
      </x:c>
    </x:row>
    <x:row r="22">
      <x:c r="A22" s="18" t="str">
        <x:v>NOT_REVIEWED</x:v>
      </x:c>
      <x:c r="B22" s="18" t="str"/>
      <x:c r="C22" s="17" t="str">
        <x:v>WALMART_WB20VTAB</x:v>
      </x:c>
      <x:c r="D22" s="17" t="str">
        <x:v>FALSE</x:v>
      </x:c>
      <x:c r="E22" s="17" t="str">
        <x:v>WALMART</x:v>
      </x:c>
      <x:c r="F22" s="17" t="str">
        <x:v>WALMART</x:v>
      </x:c>
      <x:c r="G22" s="17" t="str">
        <x:v>MATCH</x:v>
      </x:c>
      <x:c r="H22" s="17" t="str">
        <x:v>WILD BADGER POWER</x:v>
      </x:c>
      <x:c r="I22" s="17" t="str">
        <x:v>String Trimmer</x:v>
      </x:c>
      <x:c r="J22" s="17" t="str">
        <x:v>WB20VTAB</x:v>
      </x:c>
      <x:c r="K22" s="17" t="str"/>
      <x:c r="L22" s="17" t="str">
        <x:v>864525478</x:v>
      </x:c>
      <x:c r="M22" s="17" t="str">
        <x:v>Wild Badger Power 20V Weed Eater &amp; Trimmer Set, 2×2.0Ah Batteries, Cordless Lightweight Grass Trimmer for Small Yards, Fence Lines &amp; Easy Lawn Care</x:v>
      </x:c>
      <x:c r="N22" s="17" t="str">
        <x:v>http://www.walmart.com/ip/WILD-BADGER-POWER-20V-Cordless-String-Trimmer-With-blower-Combo-Set-Weed-Eater-Leaf-Blower/864525478</x:v>
      </x:c>
      <x:c r="O22" s="17" t="e">
        <x:f>HYPERLINK(N22,"Open Listing")</x:f>
        <x:v>HYPERLINK is not implemented. linkLocation=http://www.walmart.com/ip/WILD-BADGER-POWER-20V-Cordless-String-Trimmer-With-blower-Combo-Set-Weed-Eater-Leaf-Blower/864525478, friendlyName=Open Listing</x:v>
      </x:c>
      <x:c r="P22" s="17" t="str"/>
      <x:c r="Q22" s="17" t="str"/>
      <x:c r="R22" s="17" t="str"/>
      <x:c r="S22" s="17" t="str"/>
      <x:c r="T22" s="17" t="str"/>
      <x:c r="U22" s="17" t="str">
        <x:v>FALSE</x:v>
      </x:c>
      <x:c r="V22" s="17" t="str">
        <x:v>FALSE</x:v>
      </x:c>
      <x:c r="W22" s="17" t="str">
        <x:v>FALSE</x:v>
      </x:c>
      <x:c r="X22" s="17" t="str"/>
      <x:c r="Y22" s="17" t="n">
        <x:v>34</x:v>
      </x:c>
      <x:c r="Z22" s="17" t="str">
        <x:v>TRUE</x:v>
      </x:c>
      <x:c r="AA22" s="20" t="n">
        <x:v>75</x:v>
      </x:c>
      <x:c r="AB22" s="20" t="str">
        <x:v>PARTIAL_DATA</x:v>
      </x:c>
      <x:c r="AC22" s="17" t="str"/>
      <x:c r="AD22" s="17" t="str">
        <x:v>FALSE</x:v>
      </x:c>
      <x:c r="AE22" s="17" t="str"/>
      <x:c r="AF22" s="17" t="str">
        <x:v>runs/2026-07-23-biweekly-review-analysis/review_summary.json</x:v>
      </x:c>
      <x:c r="AG22" s="17" t="n">
        <x:v>21</x:v>
      </x:c>
      <x:c r="AH22" s="18" t="str"/>
      <x:c r="AI22" s="19" t="str">
        <x:v>Offline review only; no Listing URL was opened or verified.</x:v>
      </x:c>
    </x:row>
    <x:row r="23">
      <x:c r="A23" s="18" t="str">
        <x:v>NOT_REVIEWED</x:v>
      </x:c>
      <x:c r="B23" s="18" t="str"/>
      <x:c r="C23" s="17" t="str">
        <x:v>WALMART_WB20V16LM</x:v>
      </x:c>
      <x:c r="D23" s="17" t="str">
        <x:v>FALSE</x:v>
      </x:c>
      <x:c r="E23" s="17" t="str">
        <x:v>WALMART</x:v>
      </x:c>
      <x:c r="F23" s="17" t="str">
        <x:v>WALMART</x:v>
      </x:c>
      <x:c r="G23" s="17" t="str">
        <x:v>MATCH</x:v>
      </x:c>
      <x:c r="H23" s="17" t="str">
        <x:v>WILD BADGER POWER</x:v>
      </x:c>
      <x:c r="I23" s="17" t="str">
        <x:v>Lawn Mower</x:v>
      </x:c>
      <x:c r="J23" s="17" t="str">
        <x:v>WB20V16LM</x:v>
      </x:c>
      <x:c r="K23" s="17" t="str"/>
      <x:c r="L23" s="17" t="str">
        <x:v>13660751856</x:v>
      </x:c>
      <x:c r="M23" s="17" t="str">
        <x:v>Wild Badger Power 40V 16″ Cordless Lawn Mower Brushless, 1,900 sq ft/0.044 ac,1×4.0Ah Battery &amp; Fast Charger,  5-Position Height,for Small Residential Lawns</x:v>
      </x:c>
      <x:c r="N23" s="17" t="str">
        <x:v>http://www.walmart.com/ip/WILD-BADGER-POWER-40V-16-Cordless-Brushless-Lawn-Mower-5-Cutting-Height-Adjustments-Electric-Quickly-Folding-Within-5-s-20V-2-4-0AH-Battery-Super-Cha/13660751856</x:v>
      </x:c>
      <x:c r="O23" s="17" t="e">
        <x:f>HYPERLINK(N23,"Open Listing")</x:f>
        <x:v>HYPERLINK is not implemented. linkLocation=http://www.walmart.com/ip/WILD-BADGER-POWER-40V-16-Cordless-Brushless-Lawn-Mower-5-Cutting-Height-Adjustments-Electric-Quickly-Folding-Within-5-s-20V-2-4-0AH-Battery-Super-Cha/13660751856, friendlyName=Open Listing</x:v>
      </x:c>
      <x:c r="P23" s="17" t="str"/>
      <x:c r="Q23" s="17" t="str"/>
      <x:c r="R23" s="17" t="str"/>
      <x:c r="S23" s="17" t="str"/>
      <x:c r="T23" s="17" t="str"/>
      <x:c r="U23" s="17" t="str">
        <x:v>FALSE</x:v>
      </x:c>
      <x:c r="V23" s="17" t="str">
        <x:v>FALSE</x:v>
      </x:c>
      <x:c r="W23" s="17" t="str">
        <x:v>FALSE</x:v>
      </x:c>
      <x:c r="X23" s="17" t="str"/>
      <x:c r="Y23" s="17" t="n">
        <x:v>7</x:v>
      </x:c>
      <x:c r="Z23" s="17" t="str">
        <x:v>TRUE</x:v>
      </x:c>
      <x:c r="AA23" s="20" t="n">
        <x:v>75</x:v>
      </x:c>
      <x:c r="AB23" s="20" t="str">
        <x:v>PARTIAL_DATA</x:v>
      </x:c>
      <x:c r="AC23" s="17" t="str"/>
      <x:c r="AD23" s="17" t="str">
        <x:v>FALSE</x:v>
      </x:c>
      <x:c r="AE23" s="17" t="str"/>
      <x:c r="AF23" s="17" t="str">
        <x:v>runs/2026-07-23-biweekly-review-analysis/review_summary.json</x:v>
      </x:c>
      <x:c r="AG23" s="17" t="n">
        <x:v>22</x:v>
      </x:c>
      <x:c r="AH23" s="18" t="str"/>
      <x:c r="AI23" s="19" t="str">
        <x:v>Offline review only; no Listing URL was opened or verified.</x:v>
      </x:c>
    </x:row>
    <x:row r="24">
      <x:c r="A24" s="18" t="str">
        <x:v>NOT_REVIEWED</x:v>
      </x:c>
      <x:c r="B24" s="18" t="str"/>
      <x:c r="C24" s="17" t="str">
        <x:v>WALMART_WB20VCOMBODP</x:v>
      </x:c>
      <x:c r="D24" s="17" t="str">
        <x:v>FALSE</x:v>
      </x:c>
      <x:c r="E24" s="17" t="str">
        <x:v>WALMART</x:v>
      </x:c>
      <x:c r="F24" s="17" t="str">
        <x:v>WALMART</x:v>
      </x:c>
      <x:c r="G24" s="17" t="str">
        <x:v>MATCH</x:v>
      </x:c>
      <x:c r="H24" s="17" t="str">
        <x:v>WILD BADGER POWER</x:v>
      </x:c>
      <x:c r="I24" s="17" t="str">
        <x:v>String Trimmer</x:v>
      </x:c>
      <x:c r="J24" s="17" t="str">
        <x:v>WB20VCOMBODP</x:v>
      </x:c>
      <x:c r="K24" s="17" t="str"/>
      <x:c r="L24" s="17" t="str">
        <x:v>16104323450</x:v>
      </x:c>
      <x:c r="M24" s="17" t="str">
        <x:v>Wild Badger 40V Cordless String Trimmer with Pole Saw, Hedge Trimmer &amp; Brush Cutter Attachments, 4-Tool Kit, 2 Batteries &amp; Charger Included</x:v>
      </x:c>
      <x:c r="N24" s="17" t="str">
        <x:v>http://www.walmart.com/ip/40V-Cordless-Weed-Wacker-String-Trimmer-Edger-Hedge-Trimmer-Brush-Cutter-Blade-Pole-Saw-Attachment-Capable-4-in-1-Multi-Tool-Kit-2-20V-4Ah-Battery-1/16104323450</x:v>
      </x:c>
      <x:c r="O24" s="17" t="e">
        <x:f>HYPERLINK(N24,"Open Listing")</x:f>
        <x:v>HYPERLINK is not implemented. linkLocation=http://www.walmart.com/ip/40V-Cordless-Weed-Wacker-String-Trimmer-Edger-Hedge-Trimmer-Brush-Cutter-Blade-Pole-Saw-Attachment-Capable-4-in-1-Multi-Tool-Kit-2-20V-4Ah-Battery-1/16104323450, friendlyName=Open Listing</x:v>
      </x:c>
      <x:c r="P24" s="17" t="str"/>
      <x:c r="Q24" s="17" t="str"/>
      <x:c r="R24" s="17" t="str"/>
      <x:c r="S24" s="17" t="str"/>
      <x:c r="T24" s="17" t="str"/>
      <x:c r="U24" s="17" t="str">
        <x:v>FALSE</x:v>
      </x:c>
      <x:c r="V24" s="17" t="str">
        <x:v>FALSE</x:v>
      </x:c>
      <x:c r="W24" s="17" t="str">
        <x:v>FALSE</x:v>
      </x:c>
      <x:c r="X24" s="17" t="str"/>
      <x:c r="Y24" s="17" t="n">
        <x:v>0</x:v>
      </x:c>
      <x:c r="Z24" s="17" t="str">
        <x:v>TRUE</x:v>
      </x:c>
      <x:c r="AA24" s="20" t="n">
        <x:v>75</x:v>
      </x:c>
      <x:c r="AB24" s="20" t="str">
        <x:v>PARTIAL_DATA</x:v>
      </x:c>
      <x:c r="AC24" s="17" t="str"/>
      <x:c r="AD24" s="17" t="str">
        <x:v>FALSE</x:v>
      </x:c>
      <x:c r="AE24" s="17" t="str"/>
      <x:c r="AF24" s="17" t="str">
        <x:v>runs/2026-07-23-biweekly-review-analysis/review_summary.json</x:v>
      </x:c>
      <x:c r="AG24" s="17" t="n">
        <x:v>23</x:v>
      </x:c>
      <x:c r="AH24" s="18" t="str"/>
      <x:c r="AI24" s="19" t="str">
        <x:v>Offline review only; no Listing URL was opened or verified.</x:v>
      </x:c>
    </x:row>
    <x:row r="25">
      <x:c r="A25" s="18" t="str">
        <x:v>NOT_REVIEWED</x:v>
      </x:c>
      <x:c r="B25" s="18" t="str"/>
      <x:c r="C25" s="17" t="str">
        <x:v>WALMART_WB40V18PLM</x:v>
      </x:c>
      <x:c r="D25" s="17" t="str">
        <x:v>FALSE</x:v>
      </x:c>
      <x:c r="E25" s="17" t="str">
        <x:v>WALMART</x:v>
      </x:c>
      <x:c r="F25" s="17" t="str">
        <x:v>WALMART</x:v>
      </x:c>
      <x:c r="G25" s="17" t="str">
        <x:v>MATCH</x:v>
      </x:c>
      <x:c r="H25" s="17" t="str">
        <x:v>WILD BADGER POWER</x:v>
      </x:c>
      <x:c r="I25" s="17" t="str">
        <x:v>Lawn Mower</x:v>
      </x:c>
      <x:c r="J25" s="17" t="str">
        <x:v>WB40V18PLM</x:v>
      </x:c>
      <x:c r="K25" s="17" t="str"/>
      <x:c r="L25" s="17" t="str">
        <x:v>5319348630</x:v>
      </x:c>
      <x:c r="M25" s="17" t="str">
        <x:v>Wild Badger Power 40V 18″ Cordless Lawn Mower Brushless , 2,100 sq ft/0.048 ac, 1×4.0Ah Battery &amp; Fast Charger, 5-Position Height ,for Small-to-Medium Lawns</x:v>
      </x:c>
      <x:c r="N25" s="17" t="str">
        <x:v>http://www.walmart.com/ip/WILD-BADGER-POWER-40V-Lawn-Mower-Brushless-18-Cordless-5-Cutting-Height-Quikly-Folding/5319348630</x:v>
      </x:c>
      <x:c r="O25" s="17" t="e">
        <x:f>HYPERLINK(N25,"Open Listing")</x:f>
        <x:v>HYPERLINK is not implemented. linkLocation=http://www.walmart.com/ip/WILD-BADGER-POWER-40V-Lawn-Mower-Brushless-18-Cordless-5-Cutting-Height-Quikly-Folding/5319348630, friendlyName=Open Listing</x:v>
      </x:c>
      <x:c r="P25" s="17" t="str"/>
      <x:c r="Q25" s="17" t="str"/>
      <x:c r="R25" s="17" t="str"/>
      <x:c r="S25" s="17" t="str"/>
      <x:c r="T25" s="17" t="str"/>
      <x:c r="U25" s="17" t="str">
        <x:v>FALSE</x:v>
      </x:c>
      <x:c r="V25" s="17" t="str">
        <x:v>FALSE</x:v>
      </x:c>
      <x:c r="W25" s="17" t="str">
        <x:v>FALSE</x:v>
      </x:c>
      <x:c r="X25" s="17" t="str"/>
      <x:c r="Y25" s="17" t="n">
        <x:v>10</x:v>
      </x:c>
      <x:c r="Z25" s="17" t="str">
        <x:v>TRUE</x:v>
      </x:c>
      <x:c r="AA25" s="20" t="n">
        <x:v>75</x:v>
      </x:c>
      <x:c r="AB25" s="20" t="str">
        <x:v>PARTIAL_DATA</x:v>
      </x:c>
      <x:c r="AC25" s="17" t="str"/>
      <x:c r="AD25" s="17" t="str">
        <x:v>FALSE</x:v>
      </x:c>
      <x:c r="AE25" s="17" t="str"/>
      <x:c r="AF25" s="17" t="str">
        <x:v>runs/2026-07-23-biweekly-review-analysis/review_summary.json</x:v>
      </x:c>
      <x:c r="AG25" s="17" t="n">
        <x:v>24</x:v>
      </x:c>
      <x:c r="AH25" s="18" t="str"/>
      <x:c r="AI25" s="19" t="str">
        <x:v>Offline review only; no Listing URL was opened or verified.</x:v>
      </x:c>
    </x:row>
    <x:row r="26">
      <x:c r="A26" s="18" t="str">
        <x:v>NOT_REVIEWED</x:v>
      </x:c>
      <x:c r="B26" s="18" t="str"/>
      <x:c r="C26" s="17" t="str">
        <x:v>WALMART_WB40V14PLM</x:v>
      </x:c>
      <x:c r="D26" s="17" t="str">
        <x:v>FALSE</x:v>
      </x:c>
      <x:c r="E26" s="17" t="str">
        <x:v>WALMART</x:v>
      </x:c>
      <x:c r="F26" s="17" t="str">
        <x:v>WALMART</x:v>
      </x:c>
      <x:c r="G26" s="17" t="str">
        <x:v>MATCH</x:v>
      </x:c>
      <x:c r="H26" s="17" t="str">
        <x:v>WILD BADGER POWER</x:v>
      </x:c>
      <x:c r="I26" s="17" t="str">
        <x:v>Lawn Mower</x:v>
      </x:c>
      <x:c r="J26" s="17" t="str">
        <x:v>WB40V14PLM</x:v>
      </x:c>
      <x:c r="K26" s="17" t="str"/>
      <x:c r="L26" s="17" t="str">
        <x:v>16163460696</x:v>
      </x:c>
      <x:c r="M26" s="17" t="str">
        <x:v>Wild Badger Power 40V 14″ Cordless Lawn Mower Brushless,1,600 sq ft/0.037 ac,1×4.0Ah Battery &amp; Fast Charger, 5-Position Height,for Townhomes &amp; Small Yards</x:v>
      </x:c>
      <x:c r="N26" s="17" t="str">
        <x:v>http://www.walmart.com/ip/Electric-Lawn-Mower-40V-Brushless-14-Cordless-Push-5-Cutting-Height-Adjustment-4Ah-Battery-and-Super-Charger-Blue/16163460696</x:v>
      </x:c>
      <x:c r="O26" s="17" t="e">
        <x:f>HYPERLINK(N26,"Open Listing")</x:f>
        <x:v>HYPERLINK is not implemented. linkLocation=http://www.walmart.com/ip/Electric-Lawn-Mower-40V-Brushless-14-Cordless-Push-5-Cutting-Height-Adjustment-4Ah-Battery-and-Super-Charger-Blue/16163460696, friendlyName=Open Listing</x:v>
      </x:c>
      <x:c r="P26" s="17" t="str"/>
      <x:c r="Q26" s="17" t="str"/>
      <x:c r="R26" s="17" t="str"/>
      <x:c r="S26" s="17" t="str"/>
      <x:c r="T26" s="17" t="str"/>
      <x:c r="U26" s="17" t="str">
        <x:v>FALSE</x:v>
      </x:c>
      <x:c r="V26" s="17" t="str">
        <x:v>FALSE</x:v>
      </x:c>
      <x:c r="W26" s="17" t="str">
        <x:v>FALSE</x:v>
      </x:c>
      <x:c r="X26" s="17" t="str"/>
      <x:c r="Y26" s="17" t="n">
        <x:v>0</x:v>
      </x:c>
      <x:c r="Z26" s="17" t="str">
        <x:v>TRUE</x:v>
      </x:c>
      <x:c r="AA26" s="20" t="n">
        <x:v>75</x:v>
      </x:c>
      <x:c r="AB26" s="20" t="str">
        <x:v>PARTIAL_DATA</x:v>
      </x:c>
      <x:c r="AC26" s="17" t="str"/>
      <x:c r="AD26" s="17" t="str">
        <x:v>FALSE</x:v>
      </x:c>
      <x:c r="AE26" s="17" t="str"/>
      <x:c r="AF26" s="17" t="str">
        <x:v>runs/2026-07-23-biweekly-review-analysis/review_summary.json</x:v>
      </x:c>
      <x:c r="AG26" s="17" t="n">
        <x:v>25</x:v>
      </x:c>
      <x:c r="AH26" s="18" t="str"/>
      <x:c r="AI26" s="19" t="str">
        <x:v>Offline review only; no Listing URL was opened or verified.</x:v>
      </x:c>
    </x:row>
    <x:row r="27">
      <x:c r="A27" s="18" t="str">
        <x:v>NOT_REVIEWED</x:v>
      </x:c>
      <x:c r="B27" s="18" t="str"/>
      <x:c r="C27" s="17" t="str">
        <x:v>WALMART_WB53CULT</x:v>
      </x:c>
      <x:c r="D27" s="17" t="str">
        <x:v>FALSE</x:v>
      </x:c>
      <x:c r="E27" s="17" t="str">
        <x:v>WALMART</x:v>
      </x:c>
      <x:c r="F27" s="17" t="str">
        <x:v>WALMART</x:v>
      </x:c>
      <x:c r="G27" s="17" t="str">
        <x:v>MATCH</x:v>
      </x:c>
      <x:c r="H27" s="17" t="str">
        <x:v>WILD BADGER POWER</x:v>
      </x:c>
      <x:c r="I27" s="17" t="str">
        <x:v>Garden Tiller</x:v>
      </x:c>
      <x:c r="J27" s="17" t="str">
        <x:v>WB53CULT</x:v>
      </x:c>
      <x:c r="K27" s="17" t="str"/>
      <x:c r="L27" s="17" t="str">
        <x:v>11978119870</x:v>
      </x:c>
      <x:c r="M27" s="17" t="str">
        <x:v>WILD BADGER POWER Garden Tiller 53cc Mini Cultivator 15-inch.</x:v>
      </x:c>
      <x:c r="N27" s="17" t="str">
        <x:v>http://www.walmart.com/ip/Garden-Tiller-53cc-Mini-Cultivator-15-inch-Powerful-Liftable-Booster-Rod-Tilling-Tool-for-Lawn-Garden-and-Field-Soil-Cultivation/11978119870</x:v>
      </x:c>
      <x:c r="O27" s="17" t="e">
        <x:f>HYPERLINK(N27,"Open Listing")</x:f>
        <x:v>HYPERLINK is not implemented. linkLocation=http://www.walmart.com/ip/Garden-Tiller-53cc-Mini-Cultivator-15-inch-Powerful-Liftable-Booster-Rod-Tilling-Tool-for-Lawn-Garden-and-Field-Soil-Cultivation/11978119870, friendlyName=Open Listing</x:v>
      </x:c>
      <x:c r="P27" s="17" t="str"/>
      <x:c r="Q27" s="17" t="str"/>
      <x:c r="R27" s="17" t="str"/>
      <x:c r="S27" s="17" t="str"/>
      <x:c r="T27" s="17" t="str"/>
      <x:c r="U27" s="17" t="str">
        <x:v>FALSE</x:v>
      </x:c>
      <x:c r="V27" s="17" t="str">
        <x:v>FALSE</x:v>
      </x:c>
      <x:c r="W27" s="17" t="str">
        <x:v>FALSE</x:v>
      </x:c>
      <x:c r="X27" s="17" t="str"/>
      <x:c r="Y27" s="17" t="n">
        <x:v>10</x:v>
      </x:c>
      <x:c r="Z27" s="17" t="str">
        <x:v>TRUE</x:v>
      </x:c>
      <x:c r="AA27" s="20" t="n">
        <x:v>75</x:v>
      </x:c>
      <x:c r="AB27" s="20" t="str">
        <x:v>PARTIAL_DATA</x:v>
      </x:c>
      <x:c r="AC27" s="17" t="str"/>
      <x:c r="AD27" s="17" t="str">
        <x:v>FALSE</x:v>
      </x:c>
      <x:c r="AE27" s="17" t="str"/>
      <x:c r="AF27" s="17" t="str">
        <x:v>runs/2026-07-23-biweekly-review-analysis/review_summary.json</x:v>
      </x:c>
      <x:c r="AG27" s="17" t="n">
        <x:v>26</x:v>
      </x:c>
      <x:c r="AH27" s="18" t="str"/>
      <x:c r="AI27" s="19" t="str">
        <x:v>Offline review only; no Listing URL was opened or verified.</x:v>
      </x:c>
    </x:row>
    <x:row r="28">
      <x:c r="A28" s="18" t="str">
        <x:v>NOT_REVIEWED</x:v>
      </x:c>
      <x:c r="B28" s="18" t="str"/>
      <x:c r="C28" s="17" t="str">
        <x:v>WALMART_WB40VCOMBO</x:v>
      </x:c>
      <x:c r="D28" s="17" t="str">
        <x:v>FALSE</x:v>
      </x:c>
      <x:c r="E28" s="17" t="str">
        <x:v>WALMART</x:v>
      </x:c>
      <x:c r="F28" s="17" t="str">
        <x:v>WALMART</x:v>
      </x:c>
      <x:c r="G28" s="17" t="str">
        <x:v>MATCH</x:v>
      </x:c>
      <x:c r="H28" s="17" t="str">
        <x:v>WILD BADGER POWER</x:v>
      </x:c>
      <x:c r="I28" s="17" t="str">
        <x:v>String Trimmer</x:v>
      </x:c>
      <x:c r="J28" s="17" t="str">
        <x:v>WB40VCOMBO</x:v>
      </x:c>
      <x:c r="K28" s="17" t="str"/>
      <x:c r="L28" s="17" t="str">
        <x:v>17598657653</x:v>
      </x:c>
      <x:c r="M28" s="17" t="str">
        <x:v>Wild Badger 40V 4-in-1 Cordless Outdoor Power Tool Kit (Weed Wacker, Pole Saw, Hedge Trimmer, Brush Cutter) with 2*4 AhBatteries &amp; Charger</x:v>
      </x:c>
      <x:c r="N28" s="17" t="str">
        <x:v>http://www.walmart.com/ip/Wild-Badger-Power-40V-Cordless-Weed-Wacker-String-Trimmer-Edger-Hedge-Trimmer-Brush-Cutter-Blade-Pole-Saw-Attachment-Capable-4-in-1-Multi-Tool-Kit-2/17598657653</x:v>
      </x:c>
      <x:c r="O28" s="17" t="e">
        <x:f>HYPERLINK(N28,"Open Listing")</x:f>
        <x:v>HYPERLINK is not implemented. linkLocation=http://www.walmart.com/ip/Wild-Badger-Power-40V-Cordless-Weed-Wacker-String-Trimmer-Edger-Hedge-Trimmer-Brush-Cutter-Blade-Pole-Saw-Attachment-Capable-4-in-1-Multi-Tool-Kit-2/17598657653, friendlyName=Open Listing</x:v>
      </x:c>
      <x:c r="P28" s="17" t="str"/>
      <x:c r="Q28" s="17" t="str"/>
      <x:c r="R28" s="17" t="str"/>
      <x:c r="S28" s="17" t="str"/>
      <x:c r="T28" s="17" t="str"/>
      <x:c r="U28" s="17" t="str">
        <x:v>FALSE</x:v>
      </x:c>
      <x:c r="V28" s="17" t="str">
        <x:v>FALSE</x:v>
      </x:c>
      <x:c r="W28" s="17" t="str">
        <x:v>FALSE</x:v>
      </x:c>
      <x:c r="X28" s="17" t="str"/>
      <x:c r="Y28" s="17" t="n">
        <x:v>0</x:v>
      </x:c>
      <x:c r="Z28" s="17" t="str">
        <x:v>TRUE</x:v>
      </x:c>
      <x:c r="AA28" s="20" t="n">
        <x:v>75</x:v>
      </x:c>
      <x:c r="AB28" s="20" t="str">
        <x:v>PARTIAL_DATA</x:v>
      </x:c>
      <x:c r="AC28" s="17" t="str"/>
      <x:c r="AD28" s="17" t="str">
        <x:v>FALSE</x:v>
      </x:c>
      <x:c r="AE28" s="17" t="str"/>
      <x:c r="AF28" s="17" t="str">
        <x:v>runs/2026-07-23-biweekly-review-analysis/review_summary.json</x:v>
      </x:c>
      <x:c r="AG28" s="17" t="n">
        <x:v>27</x:v>
      </x:c>
      <x:c r="AH28" s="18" t="str"/>
      <x:c r="AI28" s="19" t="str">
        <x:v>Offline review only; no Listing URL was opened or verified.</x:v>
      </x:c>
    </x:row>
    <x:row r="29">
      <x:c r="A29" s="18" t="str">
        <x:v>NOT_REVIEWED</x:v>
      </x:c>
      <x:c r="B29" s="18" t="str"/>
      <x:c r="C29" s="17" t="str">
        <x:v>WALMART_WBPMT26P</x:v>
      </x:c>
      <x:c r="D29" s="17" t="str">
        <x:v>FALSE</x:v>
      </x:c>
      <x:c r="E29" s="17" t="str">
        <x:v>WALMART</x:v>
      </x:c>
      <x:c r="F29" s="17" t="str">
        <x:v>WALMART</x:v>
      </x:c>
      <x:c r="G29" s="17" t="str">
        <x:v>MATCH</x:v>
      </x:c>
      <x:c r="H29" s="17" t="str">
        <x:v>WILD BADGER POWER</x:v>
      </x:c>
      <x:c r="I29" s="17" t="str">
        <x:v>String Trimmer</x:v>
      </x:c>
      <x:c r="J29" s="17" t="str">
        <x:v>WBPMT26P</x:v>
      </x:c>
      <x:c r="K29" s="17" t="str"/>
      <x:c r="L29" s="17" t="str">
        <x:v>838770895</x:v>
      </x:c>
      <x:c r="M29" s="17" t="str">
        <x:v>WILD BADGER POWER 26cc Multi -Tool Gas String Trimmer 4 in 1 Garden Tool Combo with hedge pole saw</x:v>
      </x:c>
      <x:c r="N29" s="17" t="str">
        <x:v>http://www.walmart.com/ip/WILD-BADGER-POWER-26cc-Multi-Tool-Trimmer-4-in-1-Garden-Tool-Combo-with-hedge-pole-saw/838770895</x:v>
      </x:c>
      <x:c r="O29" s="17" t="e">
        <x:f>HYPERLINK(N29,"Open Listing")</x:f>
        <x:v>HYPERLINK is not implemented. linkLocation=http://www.walmart.com/ip/WILD-BADGER-POWER-26cc-Multi-Tool-Trimmer-4-in-1-Garden-Tool-Combo-with-hedge-pole-saw/838770895, friendlyName=Open Listing</x:v>
      </x:c>
      <x:c r="P29" s="17" t="str"/>
      <x:c r="Q29" s="17" t="str"/>
      <x:c r="R29" s="17" t="str"/>
      <x:c r="S29" s="17" t="str"/>
      <x:c r="T29" s="17" t="str"/>
      <x:c r="U29" s="17" t="str">
        <x:v>FALSE</x:v>
      </x:c>
      <x:c r="V29" s="17" t="str">
        <x:v>FALSE</x:v>
      </x:c>
      <x:c r="W29" s="17" t="str">
        <x:v>FALSE</x:v>
      </x:c>
      <x:c r="X29" s="17" t="str"/>
      <x:c r="Y29" s="17" t="n">
        <x:v>21</x:v>
      </x:c>
      <x:c r="Z29" s="17" t="str">
        <x:v>TRUE</x:v>
      </x:c>
      <x:c r="AA29" s="20" t="n">
        <x:v>75</x:v>
      </x:c>
      <x:c r="AB29" s="20" t="str">
        <x:v>PARTIAL_DATA</x:v>
      </x:c>
      <x:c r="AC29" s="17" t="str"/>
      <x:c r="AD29" s="17" t="str">
        <x:v>FALSE</x:v>
      </x:c>
      <x:c r="AE29" s="17" t="str"/>
      <x:c r="AF29" s="17" t="str">
        <x:v>runs/2026-07-23-biweekly-review-analysis/review_summary.json</x:v>
      </x:c>
      <x:c r="AG29" s="17" t="n">
        <x:v>28</x:v>
      </x:c>
      <x:c r="AH29" s="18" t="str"/>
      <x:c r="AI29" s="19" t="str">
        <x:v>Offline review only; no Listing URL was opened or verified.</x:v>
      </x:c>
    </x:row>
    <x:row r="30">
      <x:c r="A30" s="18" t="str">
        <x:v>NOT_REVIEWED</x:v>
      </x:c>
      <x:c r="B30" s="18" t="str"/>
      <x:c r="C30" s="17" t="str">
        <x:v>WALMART_WB26MTSE</x:v>
      </x:c>
      <x:c r="D30" s="17" t="str">
        <x:v>FALSE</x:v>
      </x:c>
      <x:c r="E30" s="17" t="str">
        <x:v>WALMART</x:v>
      </x:c>
      <x:c r="F30" s="17" t="str">
        <x:v>WALMART</x:v>
      </x:c>
      <x:c r="G30" s="17" t="str">
        <x:v>MATCH</x:v>
      </x:c>
      <x:c r="H30" s="17" t="str">
        <x:v>WILD BADGER POWER</x:v>
      </x:c>
      <x:c r="I30" s="17" t="str">
        <x:v>String Trimmer</x:v>
      </x:c>
      <x:c r="J30" s="17" t="str">
        <x:v>WB26MTSE</x:v>
      </x:c>
      <x:c r="K30" s="17" t="str"/>
      <x:c r="L30" s="17" t="str">
        <x:v>1856935316</x:v>
      </x:c>
      <x:c r="M30" s="17" t="str">
        <x:v>WILD BADGER POWER Gas 4-in-1 Yard Care System, 26cc 2-Cycle Full-Crankshaft Engine Multi-Tool with Attachments, String Trimmer/Edger, Hedge Trimmer and Brush Cutter Blade</x:v>
      </x:c>
      <x:c r="N30" s="17" t="str">
        <x:v>http://www.walmart.com/ip/WILD-BADGER-POWER-Gas-4-in-1-Yard-Care-System-26cc-2-Cycle-Full-Crankshaft-Engine-Multi-Tool-Attachments-String-Trimmer-Edger-Hedge-Trimmer-Brush-Cut/1856935316</x:v>
      </x:c>
      <x:c r="O30" s="17" t="e">
        <x:f>HYPERLINK(N30,"Open Listing")</x:f>
        <x:v>HYPERLINK is not implemented. linkLocation=http://www.walmart.com/ip/WILD-BADGER-POWER-Gas-4-in-1-Yard-Care-System-26cc-2-Cycle-Full-Crankshaft-Engine-Multi-Tool-Attachments-String-Trimmer-Edger-Hedge-Trimmer-Brush-Cut/1856935316, friendlyName=Open Listing</x:v>
      </x:c>
      <x:c r="P30" s="17" t="str"/>
      <x:c r="Q30" s="17" t="str"/>
      <x:c r="R30" s="17" t="str"/>
      <x:c r="S30" s="17" t="str"/>
      <x:c r="T30" s="17" t="str"/>
      <x:c r="U30" s="17" t="str">
        <x:v>FALSE</x:v>
      </x:c>
      <x:c r="V30" s="17" t="str">
        <x:v>FALSE</x:v>
      </x:c>
      <x:c r="W30" s="17" t="str">
        <x:v>FALSE</x:v>
      </x:c>
      <x:c r="X30" s="17" t="str"/>
      <x:c r="Y30" s="17" t="n">
        <x:v>3</x:v>
      </x:c>
      <x:c r="Z30" s="17" t="str">
        <x:v>TRUE</x:v>
      </x:c>
      <x:c r="AA30" s="20" t="n">
        <x:v>75</x:v>
      </x:c>
      <x:c r="AB30" s="20" t="str">
        <x:v>PARTIAL_DATA</x:v>
      </x:c>
      <x:c r="AC30" s="17" t="str"/>
      <x:c r="AD30" s="17" t="str">
        <x:v>FALSE</x:v>
      </x:c>
      <x:c r="AE30" s="17" t="str"/>
      <x:c r="AF30" s="17" t="str">
        <x:v>runs/2026-07-23-biweekly-review-analysis/review_summary.json</x:v>
      </x:c>
      <x:c r="AG30" s="17" t="n">
        <x:v>29</x:v>
      </x:c>
      <x:c r="AH30" s="18" t="str"/>
      <x:c r="AI30" s="19" t="str">
        <x:v>Offline review only; no Listing URL was opened or verified.</x:v>
      </x:c>
    </x:row>
    <x:row r="31">
      <x:c r="A31" s="18" t="str">
        <x:v>NOT_REVIEWED</x:v>
      </x:c>
      <x:c r="B31" s="18" t="str"/>
      <x:c r="C31" s="17" t="str">
        <x:v>WALMART_WB40VTBCC</x:v>
      </x:c>
      <x:c r="D31" s="17" t="str">
        <x:v>FALSE</x:v>
      </x:c>
      <x:c r="E31" s="17" t="str">
        <x:v>WALMART</x:v>
      </x:c>
      <x:c r="F31" s="17" t="str">
        <x:v>WALMART</x:v>
      </x:c>
      <x:c r="G31" s="17" t="str">
        <x:v>MATCH</x:v>
      </x:c>
      <x:c r="H31" s="17" t="str">
        <x:v>WILD BADGER POWER</x:v>
      </x:c>
      <x:c r="I31" s="17" t="str">
        <x:v>String Trimmer</x:v>
      </x:c>
      <x:c r="J31" s="17" t="str">
        <x:v>WB40VTBCC</x:v>
      </x:c>
      <x:c r="K31" s="17" t="str"/>
      <x:c r="L31" s="17" t="str">
        <x:v>3962878922</x:v>
      </x:c>
      <x:c r="M31" s="17" t="str">
        <x:v>WILD BADGER POWER 40V Weed Wacker &amp; Leaf Blower, Wheeled Edger Kit Electric with 2Ah Battery &amp; Charger, String Trimmer</x:v>
      </x:c>
      <x:c r="N31" s="17" t="str">
        <x:v>http://www.walmart.com/ip/Wild-Badger-Power-Cordless-40-Volt-Brushed-Trimmer-and-Brushed-Blower-Combo-Includes-2-0-Ah-Battery-and-Clip-on-Charger/3962878922</x:v>
      </x:c>
      <x:c r="O31" s="17" t="e">
        <x:f>HYPERLINK(N31,"Open Listing")</x:f>
        <x:v>HYPERLINK is not implemented. linkLocation=http://www.walmart.com/ip/Wild-Badger-Power-Cordless-40-Volt-Brushed-Trimmer-and-Brushed-Blower-Combo-Includes-2-0-Ah-Battery-and-Clip-on-Charger/3962878922, friendlyName=Open Listing</x:v>
      </x:c>
      <x:c r="P31" s="17" t="str"/>
      <x:c r="Q31" s="17" t="str"/>
      <x:c r="R31" s="17" t="str"/>
      <x:c r="S31" s="17" t="str"/>
      <x:c r="T31" s="17" t="str"/>
      <x:c r="U31" s="17" t="str">
        <x:v>FALSE</x:v>
      </x:c>
      <x:c r="V31" s="17" t="str">
        <x:v>FALSE</x:v>
      </x:c>
      <x:c r="W31" s="17" t="str">
        <x:v>FALSE</x:v>
      </x:c>
      <x:c r="X31" s="17" t="str"/>
      <x:c r="Y31" s="17" t="n">
        <x:v>3</x:v>
      </x:c>
      <x:c r="Z31" s="17" t="str">
        <x:v>TRUE</x:v>
      </x:c>
      <x:c r="AA31" s="20" t="n">
        <x:v>75</x:v>
      </x:c>
      <x:c r="AB31" s="20" t="str">
        <x:v>PARTIAL_DATA</x:v>
      </x:c>
      <x:c r="AC31" s="17" t="str"/>
      <x:c r="AD31" s="17" t="str">
        <x:v>FALSE</x:v>
      </x:c>
      <x:c r="AE31" s="17" t="str"/>
      <x:c r="AF31" s="17" t="str">
        <x:v>runs/2026-07-23-biweekly-review-analysis/review_summary.json</x:v>
      </x:c>
      <x:c r="AG31" s="17" t="n">
        <x:v>30</x:v>
      </x:c>
      <x:c r="AH31" s="18" t="str"/>
      <x:c r="AI31" s="19" t="str">
        <x:v>Offline review only; no Listing URL was opened or verified.</x:v>
      </x:c>
    </x:row>
    <x:row r="32">
      <x:c r="A32" s="18" t="str">
        <x:v>NOT_REVIEWED</x:v>
      </x:c>
      <x:c r="B32" s="18" t="str"/>
      <x:c r="C32" s="17" t="str">
        <x:v>WALMART_SKRMX5</x:v>
      </x:c>
      <x:c r="D32" s="17" t="str">
        <x:v>FALSE</x:v>
      </x:c>
      <x:c r="E32" s="17" t="str">
        <x:v>WALMART</x:v>
      </x:c>
      <x:c r="F32" s="17" t="str">
        <x:v>WALMART</x:v>
      </x:c>
      <x:c r="G32" s="17" t="str">
        <x:v>MATCH</x:v>
      </x:c>
      <x:c r="H32" s="17" t="str">
        <x:v>SUNSEEKER</x:v>
      </x:c>
      <x:c r="I32" s="17" t="str">
        <x:v>Robot</x:v>
      </x:c>
      <x:c r="J32" s="17" t="str">
        <x:v>SKRMX5</x:v>
      </x:c>
      <x:c r="K32" s="17" t="str"/>
      <x:c r="L32" s="17" t="str">
        <x:v>20278412919</x:v>
      </x:c>
      <x:c r="M32" s="17" t="str">
        <x:v>Sunseeker X5 AWD Robot Lawn Mower, 0.5 Acre / 21,780 Sq. Ft., Wireless No Boundary Wire Mower with RTK Vision Navigation, AI Obstacle Avoidance, App Control</x:v>
      </x:c>
      <x:c r="N32" s="17" t="str">
        <x:v>http://www.walmart.com/ip/Sunseeker-X5-AWD-Robot-Lawn-Mower-0-5-Acre-21-780-Sq-Ft-Wireless-No-Boundary-Wire-Mower-RTK-Vision-Navigation-AI-Obstacle-Avoidance-App-Control/20278412919</x:v>
      </x:c>
      <x:c r="O32" s="17" t="e">
        <x:f>HYPERLINK(N32,"Open Listing")</x:f>
        <x:v>HYPERLINK is not implemented. linkLocation=http://www.walmart.com/ip/Sunseeker-X5-AWD-Robot-Lawn-Mower-0-5-Acre-21-780-Sq-Ft-Wireless-No-Boundary-Wire-Mower-RTK-Vision-Navigation-AI-Obstacle-Avoidance-App-Control/20278412919, friendlyName=Open Listing</x:v>
      </x:c>
      <x:c r="P32" s="17" t="str"/>
      <x:c r="Q32" s="17" t="str"/>
      <x:c r="R32" s="17" t="str"/>
      <x:c r="S32" s="17" t="str"/>
      <x:c r="T32" s="17" t="str"/>
      <x:c r="U32" s="17" t="str">
        <x:v>FALSE</x:v>
      </x:c>
      <x:c r="V32" s="17" t="str">
        <x:v>FALSE</x:v>
      </x:c>
      <x:c r="W32" s="17" t="str">
        <x:v>FALSE</x:v>
      </x:c>
      <x:c r="X32" s="17" t="str"/>
      <x:c r="Y32" s="17" t="n">
        <x:v>0</x:v>
      </x:c>
      <x:c r="Z32" s="17" t="str">
        <x:v>TRUE</x:v>
      </x:c>
      <x:c r="AA32" s="20" t="n">
        <x:v>75</x:v>
      </x:c>
      <x:c r="AB32" s="20" t="str">
        <x:v>PARTIAL_DATA</x:v>
      </x:c>
      <x:c r="AC32" s="17" t="str"/>
      <x:c r="AD32" s="17" t="str">
        <x:v>FALSE</x:v>
      </x:c>
      <x:c r="AE32" s="17" t="str"/>
      <x:c r="AF32" s="17" t="str">
        <x:v>runs/2026-07-23-biweekly-review-analysis/review_summary.json</x:v>
      </x:c>
      <x:c r="AG32" s="17" t="n">
        <x:v>31</x:v>
      </x:c>
      <x:c r="AH32" s="18" t="str"/>
      <x:c r="AI32" s="19" t="str">
        <x:v>Offline review only; no Listing URL was opened or verified.</x:v>
      </x:c>
    </x:row>
    <x:row r="33">
      <x:c r="A33" s="18" t="str">
        <x:v>NOT_REVIEWED</x:v>
      </x:c>
      <x:c r="B33" s="18" t="str"/>
      <x:c r="C33" s="17" t="str">
        <x:v>WALMART_SKRMX3PLUS</x:v>
      </x:c>
      <x:c r="D33" s="17" t="str">
        <x:v>FALSE</x:v>
      </x:c>
      <x:c r="E33" s="17" t="str">
        <x:v>WALMART</x:v>
      </x:c>
      <x:c r="F33" s="17" t="str">
        <x:v>WALMART</x:v>
      </x:c>
      <x:c r="G33" s="17" t="str">
        <x:v>MATCH</x:v>
      </x:c>
      <x:c r="H33" s="17" t="str">
        <x:v>SUNSEEKER</x:v>
      </x:c>
      <x:c r="I33" s="17" t="str">
        <x:v>Robot</x:v>
      </x:c>
      <x:c r="J33" s="17" t="str">
        <x:v>SKRMX3PLUS</x:v>
      </x:c>
      <x:c r="K33" s="17" t="str"/>
      <x:c r="L33" s="17" t="str">
        <x:v>16987612478</x:v>
      </x:c>
      <x:c r="M33" s="17" t="str">
        <x:v>Sunseeker X3 Plus Robot Lawn Mower no Wire,0.3 Acre/13,000 Sq. Ft,Smart APP Control, AI &amp; RTK Navigation, 6 Muti-Zone, Path Planning, for Small/Medium Yards</x:v>
      </x:c>
      <x:c r="N33" s="17" t="str">
        <x:v>http://www.walmart.com/ip/Sunseeker-X3-Plus-Robot-Lawn-Mower-Wire-0-3-Acre-13-000-Sq-Ft-Smart-APP-Control-AI-RTK-Navigation-6-Muti-Zone-Path-Planning-Small-Medium-Yards/16987612478</x:v>
      </x:c>
      <x:c r="O33" s="17" t="e">
        <x:f>HYPERLINK(N33,"Open Listing")</x:f>
        <x:v>HYPERLINK is not implemented. linkLocation=http://www.walmart.com/ip/Sunseeker-X3-Plus-Robot-Lawn-Mower-Wire-0-3-Acre-13-000-Sq-Ft-Smart-APP-Control-AI-RTK-Navigation-6-Muti-Zone-Path-Planning-Small-Medium-Yards/16987612478, friendlyName=Open Listing</x:v>
      </x:c>
      <x:c r="P33" s="17" t="str"/>
      <x:c r="Q33" s="17" t="str"/>
      <x:c r="R33" s="17" t="str"/>
      <x:c r="S33" s="17" t="str"/>
      <x:c r="T33" s="17" t="str"/>
      <x:c r="U33" s="17" t="str">
        <x:v>FALSE</x:v>
      </x:c>
      <x:c r="V33" s="17" t="str">
        <x:v>FALSE</x:v>
      </x:c>
      <x:c r="W33" s="17" t="str">
        <x:v>FALSE</x:v>
      </x:c>
      <x:c r="X33" s="17" t="str"/>
      <x:c r="Y33" s="17" t="n">
        <x:v>1</x:v>
      </x:c>
      <x:c r="Z33" s="17" t="str">
        <x:v>TRUE</x:v>
      </x:c>
      <x:c r="AA33" s="20" t="n">
        <x:v>75</x:v>
      </x:c>
      <x:c r="AB33" s="20" t="str">
        <x:v>PARTIAL_DATA</x:v>
      </x:c>
      <x:c r="AC33" s="17" t="str"/>
      <x:c r="AD33" s="17" t="str">
        <x:v>FALSE</x:v>
      </x:c>
      <x:c r="AE33" s="17" t="str"/>
      <x:c r="AF33" s="17" t="str">
        <x:v>runs/2026-07-23-biweekly-review-analysis/review_summary.json</x:v>
      </x:c>
      <x:c r="AG33" s="17" t="n">
        <x:v>32</x:v>
      </x:c>
      <x:c r="AH33" s="18" t="str"/>
      <x:c r="AI33" s="19" t="str">
        <x:v>Offline review only; no Listing URL was opened or verified.</x:v>
      </x:c>
    </x:row>
    <x:row r="34">
      <x:c r="A34" s="18" t="str">
        <x:v>NOT_REVIEWED</x:v>
      </x:c>
      <x:c r="B34" s="18" t="str"/>
      <x:c r="C34" s="17" t="str">
        <x:v>WALMART_ORIONX7</x:v>
      </x:c>
      <x:c r="D34" s="17" t="str">
        <x:v>FALSE</x:v>
      </x:c>
      <x:c r="E34" s="17" t="str">
        <x:v>WALMART</x:v>
      </x:c>
      <x:c r="F34" s="17" t="str">
        <x:v>WALMART</x:v>
      </x:c>
      <x:c r="G34" s="17" t="str">
        <x:v>MATCH</x:v>
      </x:c>
      <x:c r="H34" s="17" t="str">
        <x:v>SUNSEEKER</x:v>
      </x:c>
      <x:c r="I34" s="17" t="str">
        <x:v>Robot</x:v>
      </x:c>
      <x:c r="J34" s="17" t="str">
        <x:v>ORIONX7</x:v>
      </x:c>
      <x:c r="K34" s="17" t="str"/>
      <x:c r="L34" s="17" t="str">
        <x:v>17817006072</x:v>
      </x:c>
      <x:c r="M34" s="17" t="str">
        <x:v>Sunseeker X7 Wireless Robot Lawn Mower 0.75 Acre 32000 sq ft, with Smart APP Control, Vision AI System &amp; RTK, Path Planning, Adaptive Floating Cut Height up to 4 inches</x:v>
      </x:c>
      <x:c r="N34" s="17" t="str">
        <x:v>http://www.walmart.com/ip/SUNSEEKER-X7-Wireless-Robot-Lawn-Mower-0-75-Acre-32-000Sq-Ft-Smart-APP-Control-Vision-AI-System-RTK-Path-Planning-Adaptive-Floating-Cut-Height-4-Medi/17817006072</x:v>
      </x:c>
      <x:c r="O34" s="17" t="e">
        <x:f>HYPERLINK(N34,"Open Listing")</x:f>
        <x:v>HYPERLINK is not implemented. linkLocation=http://www.walmart.com/ip/SUNSEEKER-X7-Wireless-Robot-Lawn-Mower-0-75-Acre-32-000Sq-Ft-Smart-APP-Control-Vision-AI-System-RTK-Path-Planning-Adaptive-Floating-Cut-Height-4-Medi/17817006072, friendlyName=Open Listing</x:v>
      </x:c>
      <x:c r="P34" s="17" t="str"/>
      <x:c r="Q34" s="17" t="str"/>
      <x:c r="R34" s="17" t="str"/>
      <x:c r="S34" s="17" t="str"/>
      <x:c r="T34" s="17" t="str"/>
      <x:c r="U34" s="17" t="str">
        <x:v>FALSE</x:v>
      </x:c>
      <x:c r="V34" s="17" t="str">
        <x:v>FALSE</x:v>
      </x:c>
      <x:c r="W34" s="17" t="str">
        <x:v>FALSE</x:v>
      </x:c>
      <x:c r="X34" s="17" t="str"/>
      <x:c r="Y34" s="17" t="n">
        <x:v>1</x:v>
      </x:c>
      <x:c r="Z34" s="17" t="str">
        <x:v>TRUE</x:v>
      </x:c>
      <x:c r="AA34" s="20" t="n">
        <x:v>75</x:v>
      </x:c>
      <x:c r="AB34" s="20" t="str">
        <x:v>PARTIAL_DATA</x:v>
      </x:c>
      <x:c r="AC34" s="17" t="str"/>
      <x:c r="AD34" s="17" t="str">
        <x:v>FALSE</x:v>
      </x:c>
      <x:c r="AE34" s="17" t="str"/>
      <x:c r="AF34" s="17" t="str">
        <x:v>runs/2026-07-23-biweekly-review-analysis/review_summary.json</x:v>
      </x:c>
      <x:c r="AG34" s="17" t="n">
        <x:v>33</x:v>
      </x:c>
      <x:c r="AH34" s="18" t="str"/>
      <x:c r="AI34" s="19" t="str">
        <x:v>Offline review only; no Listing URL was opened or verified.</x:v>
      </x:c>
    </x:row>
    <x:row r="35">
      <x:c r="A35" s="18" t="str">
        <x:v>NOT_REVIEWED</x:v>
      </x:c>
      <x:c r="B35" s="18" t="str"/>
      <x:c r="C35" s="17" t="str">
        <x:v>WALMART_SKRMS4</x:v>
      </x:c>
      <x:c r="D35" s="17" t="str">
        <x:v>FALSE</x:v>
      </x:c>
      <x:c r="E35" s="17" t="str">
        <x:v>WALMART</x:v>
      </x:c>
      <x:c r="F35" s="17" t="str">
        <x:v>WALMART</x:v>
      </x:c>
      <x:c r="G35" s="17" t="str">
        <x:v>MATCH</x:v>
      </x:c>
      <x:c r="H35" s="17" t="str">
        <x:v>SUNSEEKER</x:v>
      </x:c>
      <x:c r="I35" s="17" t="str">
        <x:v>Robot</x:v>
      </x:c>
      <x:c r="J35" s="17" t="str">
        <x:v>SKRMS4</x:v>
      </x:c>
      <x:c r="K35" s="17" t="str"/>
      <x:c r="L35" s="17" t="str">
        <x:v>20023610713</x:v>
      </x:c>
      <x:c r="M35" s="17" t="str">
        <x:v>Sunseeker S4 LiDAR Robot Lawn Mower for Up to 0.25 Acre (1000 m²), Vision AI + 360° 3D LiDAR Navigation, Wire-Free Virtual Boundary, Systematic Cutting, 42% Slope, App Control, 60 dB Quiet Mowing</x:v>
      </x:c>
      <x:c r="N35" s="17" t="str">
        <x:v>http://www.walmart.com/ip/Sunseeker-S4-LiDAR-Robot-Lawn-Mower-Up-0-25-Acre-1000-m-Vision-AI-360-3D-Navigation-Wire-Free-Virtual-Boundary-Systematic-Cutting-42-Slope-App-Contro/20023610713</x:v>
      </x:c>
      <x:c r="O35" s="17" t="e">
        <x:f>HYPERLINK(N35,"Open Listing")</x:f>
        <x:v>HYPERLINK is not implemented. linkLocation=http://www.walmart.com/ip/Sunseeker-S4-LiDAR-Robot-Lawn-Mower-Up-0-25-Acre-1000-m-Vision-AI-360-3D-Navigation-Wire-Free-Virtual-Boundary-Systematic-Cutting-42-Slope-App-Contro/20023610713, friendlyName=Open Listing</x:v>
      </x:c>
      <x:c r="P35" s="17" t="str"/>
      <x:c r="Q35" s="17" t="str"/>
      <x:c r="R35" s="17" t="str"/>
      <x:c r="S35" s="17" t="str"/>
      <x:c r="T35" s="17" t="str"/>
      <x:c r="U35" s="17" t="str">
        <x:v>FALSE</x:v>
      </x:c>
      <x:c r="V35" s="17" t="str">
        <x:v>FALSE</x:v>
      </x:c>
      <x:c r="W35" s="17" t="str">
        <x:v>FALSE</x:v>
      </x:c>
      <x:c r="X35" s="17" t="str"/>
      <x:c r="Y35" s="17" t="n">
        <x:v>0</x:v>
      </x:c>
      <x:c r="Z35" s="17" t="str">
        <x:v>TRUE</x:v>
      </x:c>
      <x:c r="AA35" s="20" t="n">
        <x:v>75</x:v>
      </x:c>
      <x:c r="AB35" s="20" t="str">
        <x:v>PARTIAL_DATA</x:v>
      </x:c>
      <x:c r="AC35" s="17" t="str"/>
      <x:c r="AD35" s="17" t="str">
        <x:v>FALSE</x:v>
      </x:c>
      <x:c r="AE35" s="17" t="str"/>
      <x:c r="AF35" s="17" t="str">
        <x:v>runs/2026-07-23-biweekly-review-analysis/review_summary.json</x:v>
      </x:c>
      <x:c r="AG35" s="17" t="n">
        <x:v>34</x:v>
      </x:c>
      <x:c r="AH35" s="18" t="str"/>
      <x:c r="AI35" s="19" t="str">
        <x:v>Offline review only; no Listing URL was opened or verified.</x:v>
      </x:c>
    </x:row>
    <x:row r="36">
      <x:c r="A36" s="18" t="str">
        <x:v>NOT_REVIEWED</x:v>
      </x:c>
      <x:c r="B36" s="18" t="str"/>
      <x:c r="C36" s="17" t="str">
        <x:v>WALMART_SKRMV3</x:v>
      </x:c>
      <x:c r="D36" s="17" t="str">
        <x:v>FALSE</x:v>
      </x:c>
      <x:c r="E36" s="17" t="str">
        <x:v>WALMART</x:v>
      </x:c>
      <x:c r="F36" s="17" t="str">
        <x:v>WALMART</x:v>
      </x:c>
      <x:c r="G36" s="17" t="str">
        <x:v>MATCH</x:v>
      </x:c>
      <x:c r="H36" s="17" t="str">
        <x:v>SUNSEEKER</x:v>
      </x:c>
      <x:c r="I36" s="17" t="str">
        <x:v>Robot</x:v>
      </x:c>
      <x:c r="J36" s="17" t="str">
        <x:v>SKRMV3</x:v>
      </x:c>
      <x:c r="K36" s="17" t="str"/>
      <x:c r="L36" s="17" t="str">
        <x:v>15497122464</x:v>
      </x:c>
      <x:c r="M36" s="17" t="str">
        <x:v>Sunseeker V3 Wireless Robot Lawn Mower 0.15 Acre/6,400 Sq Ft, AI Auto Mow, Smart Obstacle Avoidance, App Control</x:v>
      </x:c>
      <x:c r="N36" s="17" t="str">
        <x:v>http://www.walmart.com/ip/SUNSEEKER-V3-Wireless-Robot-Lawn-Mower-0-15-Acre-6-400-Sq-Ft-Vision-AI-Automatic-Mower-One-Click-Mow-Smart-Obstacle-Avoidance-Multi-Zone-Navigation-2/15497122464</x:v>
      </x:c>
      <x:c r="O36" s="17" t="e">
        <x:f>HYPERLINK(N36,"Open Listing")</x:f>
        <x:v>HYPERLINK is not implemented. linkLocation=http://www.walmart.com/ip/SUNSEEKER-V3-Wireless-Robot-Lawn-Mower-0-15-Acre-6-400-Sq-Ft-Vision-AI-Automatic-Mower-One-Click-Mow-Smart-Obstacle-Avoidance-Multi-Zone-Navigation-2/15497122464, friendlyName=Open Listing</x:v>
      </x:c>
      <x:c r="P36" s="17" t="str"/>
      <x:c r="Q36" s="17" t="str"/>
      <x:c r="R36" s="17" t="str"/>
      <x:c r="S36" s="17" t="str"/>
      <x:c r="T36" s="17" t="str"/>
      <x:c r="U36" s="17" t="str">
        <x:v>FALSE</x:v>
      </x:c>
      <x:c r="V36" s="17" t="str">
        <x:v>FALSE</x:v>
      </x:c>
      <x:c r="W36" s="17" t="str">
        <x:v>FALSE</x:v>
      </x:c>
      <x:c r="X36" s="17" t="str"/>
      <x:c r="Y36" s="17" t="n">
        <x:v>6</x:v>
      </x:c>
      <x:c r="Z36" s="17" t="str">
        <x:v>TRUE</x:v>
      </x:c>
      <x:c r="AA36" s="20" t="n">
        <x:v>75</x:v>
      </x:c>
      <x:c r="AB36" s="20" t="str">
        <x:v>PARTIAL_DATA</x:v>
      </x:c>
      <x:c r="AC36" s="17" t="str"/>
      <x:c r="AD36" s="17" t="str">
        <x:v>FALSE</x:v>
      </x:c>
      <x:c r="AE36" s="17" t="str"/>
      <x:c r="AF36" s="17" t="str">
        <x:v>runs/2026-07-23-biweekly-review-analysis/review_summary.json</x:v>
      </x:c>
      <x:c r="AG36" s="17" t="n">
        <x:v>35</x:v>
      </x:c>
      <x:c r="AH36" s="18" t="str"/>
      <x:c r="AI36" s="19" t="str">
        <x:v>Offline review only; no Listing URL was opened or verified.</x:v>
      </x:c>
    </x:row>
  </x:sheetData>
  <x:dataValidations count="6">
    <x:dataValidation type="list" sqref="A2:A201">
      <x:formula1>"NOT_REVIEWED,REVIEWED"</x:formula1>
    </x:dataValidation>
    <x:dataValidation type="list" sqref="B2:B201">
      <x:formula1>"APPROVE,APPROVE_WITH_CHANGES,EXCLUDE,NEEDS_INVESTIGATION"</x:formula1>
    </x:dataValidation>
    <x:dataValidation type="list" sqref="D2:D201">
      <x:formula1>"TRUE,FALSE"</x:formula1>
    </x:dataValidation>
    <x:dataValidation type="list" sqref="U2:U201">
      <x:formula1>"TRUE,FALSE"</x:formula1>
    </x:dataValidation>
    <x:dataValidation type="list" sqref="V2:V201">
      <x:formula1>"TRUE,FALSE"</x:formula1>
    </x:dataValidation>
    <x:dataValidation type="list" sqref="W2:W2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22" t="str">
        <x:v>Field / rule</x:v>
      </x:c>
      <x:c r="B1" s="22" t="str">
        <x:v>Definition or review guidance</x:v>
      </x:c>
    </x:row>
    <x:row r="2" ht="34" customHeight="1">
      <x:c r="A2" s="17" t="str">
        <x:v>review_status</x:v>
      </x:c>
      <x:c r="B2" s="17" t="str">
        <x:v>默认 NOT_REVIEWED；完成一行人工审核后才改为 REVIEWED。</x:v>
      </x:c>
    </x:row>
    <x:row r="3" ht="34" customHeight="1">
      <x:c r="A3" s="17" t="str">
        <x:v>user_decision</x:v>
      </x:c>
      <x:c r="B3" s="17" t="str">
        <x:v>仅由用户选择：APPROVE、APPROVE_WITH_CHANGES、EXCLUDE 或 NEEDS_INVESTIGATION。</x:v>
      </x:c>
    </x:row>
    <x:row r="4" ht="34" customHeight="1">
      <x:c r="A4" s="17" t="str">
        <x:v>listing_url / link_display</x:v>
      </x:c>
      <x:c r="B4" s="17" t="str">
        <x:v>URL 保留历史原值；Open Listing 为可点击链接，但本工作簿未访问或验证页面。</x:v>
      </x:c>
    </x:row>
    <x:row r="5" ht="34" customHeight="1">
      <x:c r="A5" s="17" t="str">
        <x:v>data_completeness_score</x:v>
      </x:c>
      <x:c r="B5" s="17" t="str">
        <x:v>0-100 离线完整度，不代表页面真实有效性。权重：record_id/platform/internal_sku/model/item ID/URL/keyword/URL平台匹配各 10；product name/ZIP/monitor 字段/Review关联各 5。</x:v>
      </x:c>
    </x:row>
    <x:row r="6" ht="34" customHeight="1">
      <x:c r="A6" s="17" t="str">
        <x:v>status bands</x:v>
      </x:c>
      <x:c r="B6" s="17" t="str">
        <x:v>READY_FOR_REVIEW 90-100；PARTIAL_DATA 70-89；INCOMPLETE 低于 70；缺 URL、record_id 或 SKU 为 CRITICAL_IDENTITY_ISSUE。</x:v>
      </x:c>
    </x:row>
    <x:row r="7" ht="34" customHeight="1">
      <x:c r="A7" s="17" t="str">
        <x:v>monitor flags</x:v>
      </x:c>
      <x:c r="B7" s="17" t="str">
        <x:v>全部默认 FALSE；任何 TRUE 均须由用户审核后手动决定。</x:v>
      </x:c>
    </x:row>
    <x:row r="8" ht="34" customHeight="1">
      <x:c r="A8" s="17" t="str">
        <x:v>rank scope</x:v>
      </x:c>
      <x:c r="B8" s="17" t="str">
        <x:v>primary_keyword、ZIP、max_search_pages 仅影响未来经批准的排名范围；本阶段不补造也不采集。</x:v>
      </x:c>
    </x:row>
    <x:row r="9" ht="34" customHeight="1">
      <x:c r="A9" s="17" t="str">
        <x:v>historical Review</x:v>
      </x:c>
      <x:c r="B9" s="17" t="str">
        <x:v>review_count_in_database 来自迁移数据库；legacy_review_key 不是平台官方 Review ID。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23" t="str">
        <x:v>platform</x:v>
      </x:c>
      <x:c r="B1" s="23" t="str">
        <x:v>listing_total</x:v>
      </x:c>
      <x:c r="C1" s="23" t="str">
        <x:v>missing_url</x:v>
      </x:c>
      <x:c r="D1" s="23" t="str">
        <x:v>missing_item_id</x:v>
      </x:c>
      <x:c r="E1" s="23" t="str">
        <x:v>review_history_listings</x:v>
      </x:c>
      <x:c r="F1" s="23" t="str">
        <x:v>missing_primary_keyword</x:v>
      </x:c>
      <x:c r="G1" s="23" t="str">
        <x:v>platform_url_mismatch</x:v>
      </x:c>
      <x:c r="H1" s="23" t="str">
        <x:v>duplicate_candidates</x:v>
      </x:c>
      <x:c r="I1" s="23" t="str">
        <x:v>ready_for_review</x:v>
      </x:c>
      <x:c r="J1" s="23" t="str">
        <x:v>partial_data</x:v>
      </x:c>
      <x:c r="K1" s="23" t="str">
        <x:v>incomplete</x:v>
      </x:c>
    </x:row>
    <x:row r="2">
      <x:c r="A2" s="15" t="str">
        <x:v>WALMART</x:v>
      </x:c>
      <x:c r="B2" s="15" t="n">
        <x:v>15</x:v>
      </x:c>
      <x:c r="C2" s="15" t="n">
        <x:v>0</x:v>
      </x:c>
      <x:c r="D2" s="15" t="n">
        <x:v>0</x:v>
      </x:c>
      <x:c r="E2" s="15" t="n">
        <x:v>15</x:v>
      </x:c>
      <x:c r="F2" s="15" t="n">
        <x:v>15</x:v>
      </x:c>
      <x:c r="G2" s="15" t="n">
        <x:v>0</x:v>
      </x:c>
      <x:c r="H2" s="15" t="n">
        <x:v>0</x:v>
      </x:c>
      <x:c r="I2" s="15" t="n">
        <x:v>0</x:v>
      </x:c>
      <x:c r="J2" s="15" t="n">
        <x:v>15</x:v>
      </x:c>
      <x:c r="K2" s="15" t="n">
        <x:v>0</x:v>
      </x:c>
    </x:row>
    <x:row r="3">
      <x:c r="A3" s="15" t="str">
        <x:v>THD</x:v>
      </x:c>
      <x:c r="B3" s="15" t="n">
        <x:v>10</x:v>
      </x:c>
      <x:c r="C3" s="15" t="n">
        <x:v>0</x:v>
      </x:c>
      <x:c r="D3" s="15" t="n">
        <x:v>0</x:v>
      </x:c>
      <x:c r="E3" s="15" t="n">
        <x:v>10</x:v>
      </x:c>
      <x:c r="F3" s="15" t="n">
        <x:v>10</x:v>
      </x:c>
      <x:c r="G3" s="15" t="n">
        <x:v>0</x:v>
      </x:c>
      <x:c r="H3" s="15" t="n">
        <x:v>0</x:v>
      </x:c>
      <x:c r="I3" s="15" t="n">
        <x:v>0</x:v>
      </x:c>
      <x:c r="J3" s="15" t="n">
        <x:v>10</x:v>
      </x:c>
      <x:c r="K3" s="15" t="n">
        <x:v>0</x:v>
      </x:c>
    </x:row>
    <x:row r="4">
      <x:c r="A4" s="15" t="str">
        <x:v>LOWES</x:v>
      </x:c>
      <x:c r="B4" s="15" t="n">
        <x:v>10</x:v>
      </x:c>
      <x:c r="C4" s="15" t="n">
        <x:v>0</x:v>
      </x:c>
      <x:c r="D4" s="15" t="n">
        <x:v>0</x:v>
      </x:c>
      <x:c r="E4" s="15" t="n">
        <x:v>10</x:v>
      </x:c>
      <x:c r="F4" s="15" t="n">
        <x:v>10</x:v>
      </x:c>
      <x:c r="G4" s="15" t="n">
        <x:v>0</x:v>
      </x:c>
      <x:c r="H4" s="15" t="n">
        <x:v>0</x:v>
      </x:c>
      <x:c r="I4" s="15" t="n">
        <x:v>0</x:v>
      </x:c>
      <x:c r="J4" s="15" t="n">
        <x:v>10</x:v>
      </x:c>
      <x:c r="K4" s="15" t="n">
        <x:v>0</x:v>
      </x:c>
    </x:row>
    <x:row r="5">
      <x:c r="A5" s="15" t="str">
        <x:v>UNKNOWN</x:v>
      </x:c>
      <x:c r="B5" s="15" t="n">
        <x:v>0</x:v>
      </x:c>
      <x:c r="C5" s="15" t="n">
        <x:v>0</x:v>
      </x:c>
      <x:c r="D5" s="15" t="n">
        <x:v>0</x:v>
      </x:c>
      <x:c r="E5" s="15" t="n">
        <x:v>0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5" hidden="0" customWidth="1"/>
    <x:col min="4" max="4" width="12" hidden="0" customWidth="1"/>
    <x:col min="5" max="5" width="22" hidden="0" customWidth="1"/>
    <x:col min="6" max="6" width="28" hidden="0" customWidth="1"/>
    <x:col min="7" max="7" width="32" hidden="0" customWidth="1"/>
    <x:col min="8" max="8" width="52" hidden="0" customWidth="1"/>
    <x:col min="9" max="9" width="18" hidden="0" customWidth="1"/>
    <x:col min="10" max="10" width="45" hidden="0" customWidth="1"/>
  </x:cols>
  <x:sheetData>
    <x:row r="1">
      <x:c r="A1" s="27" t="str">
        <x:v>issue_id</x:v>
      </x:c>
      <x:c r="B1" s="27" t="str">
        <x:v>severity</x:v>
      </x:c>
      <x:c r="C1" s="27" t="str">
        <x:v>record_id</x:v>
      </x:c>
      <x:c r="D1" s="27" t="str">
        <x:v>platform</x:v>
      </x:c>
      <x:c r="E1" s="27" t="str">
        <x:v>field</x:v>
      </x:c>
      <x:c r="F1" s="27" t="str">
        <x:v>issue_type</x:v>
      </x:c>
      <x:c r="G1" s="27" t="str">
        <x:v>current_value</x:v>
      </x:c>
      <x:c r="H1" s="27" t="str">
        <x:v>recommended_action</x:v>
      </x:c>
      <x:c r="I1" s="27" t="str">
        <x:v>blocking_phase2</x:v>
      </x:c>
      <x:c r="J1" s="27" t="str">
        <x:v>notes</x:v>
      </x:c>
    </x:row>
    <x:row r="2">
      <x:c r="A2" s="17" t="str">
        <x:v>ISS-001</x:v>
      </x:c>
      <x:c r="B2" s="17" t="str">
        <x:v>MEDIUM</x:v>
      </x:c>
      <x:c r="C2" s="17" t="str">
        <x:v>THD_WBP31BCF</x:v>
      </x:c>
      <x:c r="D2" s="17" t="str">
        <x:v>THD</x:v>
      </x:c>
      <x:c r="E2" s="17" t="str">
        <x:v>model</x:v>
      </x:c>
      <x:c r="F2" s="17" t="str">
        <x:v>MISSING_MODEL</x:v>
      </x:c>
      <x:c r="G2" s="17" t="str">
        <x:v>[blank]</x:v>
      </x:c>
      <x:c r="H2" s="17" t="str">
        <x:v>User to confirm product model before Phase 2 selection.</x:v>
      </x:c>
      <x:c r="I2" s="17" t="str">
        <x:v>FALSE</x:v>
      </x:c>
      <x:c r="J2" s="17" t="str">
        <x:v>No model was inferred from product name.</x:v>
      </x:c>
    </x:row>
    <x:row r="3">
      <x:c r="A3" s="17" t="str">
        <x:v>ISS-002</x:v>
      </x:c>
      <x:c r="B3" s="17" t="str">
        <x:v>HIGH</x:v>
      </x:c>
      <x:c r="C3" s="17" t="str">
        <x:v>THD_WBP31BCF</x:v>
      </x:c>
      <x:c r="D3" s="17" t="str">
        <x:v>THD</x:v>
      </x:c>
      <x:c r="E3" s="17" t="str">
        <x:v>primary_keyword</x:v>
      </x:c>
      <x:c r="F3" s="17" t="str">
        <x:v>MISSING_PRIMARY_KEYWORD</x:v>
      </x:c>
      <x:c r="G3" s="17" t="str">
        <x:v>[blank]</x:v>
      </x:c>
      <x:c r="H3" s="17" t="str">
        <x:v>User to provide the intended primary keyword; do not infer it.</x:v>
      </x:c>
      <x:c r="I3" s="17" t="str">
        <x:v>FALSE</x:v>
      </x:c>
      <x:c r="J3" s="17" t="str">
        <x:v>Blocks rank-monitor scope approval only.</x:v>
      </x:c>
    </x:row>
    <x:row r="4">
      <x:c r="A4" s="17" t="str">
        <x:v>ISS-003</x:v>
      </x:c>
      <x:c r="B4" s="17" t="str">
        <x:v>MEDIUM</x:v>
      </x:c>
      <x:c r="C4" s="17" t="str">
        <x:v>THD_WBP31BCF</x:v>
      </x:c>
      <x:c r="D4" s="17" t="str">
        <x:v>THD</x:v>
      </x:c>
      <x:c r="E4" s="17" t="str">
        <x:v>zip_code</x:v>
      </x:c>
      <x:c r="F4" s="17" t="str">
        <x:v>INVALID_ZIP_CODE</x:v>
      </x:c>
      <x:c r="G4" s="17" t="str">
        <x:v>[blank]</x:v>
      </x:c>
      <x:c r="H4" s="17" t="str">
        <x:v>User to provide a five-digit US ZIP if rank monitoring is requested.</x:v>
      </x:c>
      <x:c r="I4" s="17" t="str">
        <x:v>FALSE</x:v>
      </x:c>
      <x:c r="J4" s="17" t="str">
        <x:v>ZIP is required only for applicable location-sensitive rank scope.</x:v>
      </x:c>
    </x:row>
    <x:row r="5">
      <x:c r="A5" s="17" t="str">
        <x:v>ISS-004</x:v>
      </x:c>
      <x:c r="B5" s="17" t="str">
        <x:v>MEDIUM</x:v>
      </x:c>
      <x:c r="C5" s="17" t="str">
        <x:v>THD_WBP52BCI</x:v>
      </x:c>
      <x:c r="D5" s="17" t="str">
        <x:v>THD</x:v>
      </x:c>
      <x:c r="E5" s="17" t="str">
        <x:v>model</x:v>
      </x:c>
      <x:c r="F5" s="17" t="str">
        <x:v>MISSING_MODEL</x:v>
      </x:c>
      <x:c r="G5" s="17" t="str">
        <x:v>[blank]</x:v>
      </x:c>
      <x:c r="H5" s="17" t="str">
        <x:v>User to confirm product model before Phase 2 selection.</x:v>
      </x:c>
      <x:c r="I5" s="17" t="str">
        <x:v>FALSE</x:v>
      </x:c>
      <x:c r="J5" s="17" t="str">
        <x:v>No model was inferred from product name.</x:v>
      </x:c>
    </x:row>
    <x:row r="6">
      <x:c r="A6" s="17" t="str">
        <x:v>ISS-005</x:v>
      </x:c>
      <x:c r="B6" s="17" t="str">
        <x:v>HIGH</x:v>
      </x:c>
      <x:c r="C6" s="17" t="str">
        <x:v>THD_WBP52BCI</x:v>
      </x:c>
      <x:c r="D6" s="17" t="str">
        <x:v>THD</x:v>
      </x:c>
      <x:c r="E6" s="17" t="str">
        <x:v>primary_keyword</x:v>
      </x:c>
      <x:c r="F6" s="17" t="str">
        <x:v>MISSING_PRIMARY_KEYWORD</x:v>
      </x:c>
      <x:c r="G6" s="17" t="str">
        <x:v>[blank]</x:v>
      </x:c>
      <x:c r="H6" s="17" t="str">
        <x:v>User to provide the intended primary keyword; do not infer it.</x:v>
      </x:c>
      <x:c r="I6" s="17" t="str">
        <x:v>FALSE</x:v>
      </x:c>
      <x:c r="J6" s="17" t="str">
        <x:v>Blocks rank-monitor scope approval only.</x:v>
      </x:c>
    </x:row>
    <x:row r="7">
      <x:c r="A7" s="17" t="str">
        <x:v>ISS-006</x:v>
      </x:c>
      <x:c r="B7" s="17" t="str">
        <x:v>MEDIUM</x:v>
      </x:c>
      <x:c r="C7" s="17" t="str">
        <x:v>THD_WBP52BCI</x:v>
      </x:c>
      <x:c r="D7" s="17" t="str">
        <x:v>THD</x:v>
      </x:c>
      <x:c r="E7" s="17" t="str">
        <x:v>zip_code</x:v>
      </x:c>
      <x:c r="F7" s="17" t="str">
        <x:v>INVALID_ZIP_CODE</x:v>
      </x:c>
      <x:c r="G7" s="17" t="str">
        <x:v>[blank]</x:v>
      </x:c>
      <x:c r="H7" s="17" t="str">
        <x:v>User to provide a five-digit US ZIP if rank monitoring is requested.</x:v>
      </x:c>
      <x:c r="I7" s="17" t="str">
        <x:v>FALSE</x:v>
      </x:c>
      <x:c r="J7" s="17" t="str">
        <x:v>ZIP is required only for applicable location-sensitive rank scope.</x:v>
      </x:c>
    </x:row>
    <x:row r="8">
      <x:c r="A8" s="17" t="str">
        <x:v>ISS-007</x:v>
      </x:c>
      <x:c r="B8" s="17" t="str">
        <x:v>MEDIUM</x:v>
      </x:c>
      <x:c r="C8" s="17" t="str">
        <x:v>THD_WBPMT26TS</x:v>
      </x:c>
      <x:c r="D8" s="17" t="str">
        <x:v>THD</x:v>
      </x:c>
      <x:c r="E8" s="17" t="str">
        <x:v>model</x:v>
      </x:c>
      <x:c r="F8" s="17" t="str">
        <x:v>MISSING_MODEL</x:v>
      </x:c>
      <x:c r="G8" s="17" t="str">
        <x:v>[blank]</x:v>
      </x:c>
      <x:c r="H8" s="17" t="str">
        <x:v>User to confirm product model before Phase 2 selection.</x:v>
      </x:c>
      <x:c r="I8" s="17" t="str">
        <x:v>FALSE</x:v>
      </x:c>
      <x:c r="J8" s="17" t="str">
        <x:v>No model was inferred from product name.</x:v>
      </x:c>
    </x:row>
    <x:row r="9">
      <x:c r="A9" s="17" t="str">
        <x:v>ISS-008</x:v>
      </x:c>
      <x:c r="B9" s="17" t="str">
        <x:v>HIGH</x:v>
      </x:c>
      <x:c r="C9" s="17" t="str">
        <x:v>THD_WBPMT26TS</x:v>
      </x:c>
      <x:c r="D9" s="17" t="str">
        <x:v>THD</x:v>
      </x:c>
      <x:c r="E9" s="17" t="str">
        <x:v>primary_keyword</x:v>
      </x:c>
      <x:c r="F9" s="17" t="str">
        <x:v>MISSING_PRIMARY_KEYWORD</x:v>
      </x:c>
      <x:c r="G9" s="17" t="str">
        <x:v>[blank]</x:v>
      </x:c>
      <x:c r="H9" s="17" t="str">
        <x:v>User to provide the intended primary keyword; do not infer it.</x:v>
      </x:c>
      <x:c r="I9" s="17" t="str">
        <x:v>FALSE</x:v>
      </x:c>
      <x:c r="J9" s="17" t="str">
        <x:v>Blocks rank-monitor scope approval only.</x:v>
      </x:c>
    </x:row>
    <x:row r="10">
      <x:c r="A10" s="17" t="str">
        <x:v>ISS-009</x:v>
      </x:c>
      <x:c r="B10" s="17" t="str">
        <x:v>MEDIUM</x:v>
      </x:c>
      <x:c r="C10" s="17" t="str">
        <x:v>THD_WBPMT26TS</x:v>
      </x:c>
      <x:c r="D10" s="17" t="str">
        <x:v>THD</x:v>
      </x:c>
      <x:c r="E10" s="17" t="str">
        <x:v>zip_code</x:v>
      </x:c>
      <x:c r="F10" s="17" t="str">
        <x:v>INVALID_ZIP_CODE</x:v>
      </x:c>
      <x:c r="G10" s="17" t="str">
        <x:v>[blank]</x:v>
      </x:c>
      <x:c r="H10" s="17" t="str">
        <x:v>User to provide a five-digit US ZIP if rank monitoring is requested.</x:v>
      </x:c>
      <x:c r="I10" s="17" t="str">
        <x:v>FALSE</x:v>
      </x:c>
      <x:c r="J10" s="17" t="str">
        <x:v>ZIP is required only for applicable location-sensitive rank scope.</x:v>
      </x:c>
    </x:row>
    <x:row r="11">
      <x:c r="A11" s="17" t="str">
        <x:v>ISS-010</x:v>
      </x:c>
      <x:c r="B11" s="17" t="str">
        <x:v>MEDIUM</x:v>
      </x:c>
      <x:c r="C11" s="17" t="str">
        <x:v>THD_WBP31TS</x:v>
      </x:c>
      <x:c r="D11" s="17" t="str">
        <x:v>THD</x:v>
      </x:c>
      <x:c r="E11" s="17" t="str">
        <x:v>model</x:v>
      </x:c>
      <x:c r="F11" s="17" t="str">
        <x:v>MISSING_MODEL</x:v>
      </x:c>
      <x:c r="G11" s="17" t="str">
        <x:v>[blank]</x:v>
      </x:c>
      <x:c r="H11" s="17" t="str">
        <x:v>User to confirm product model before Phase 2 selection.</x:v>
      </x:c>
      <x:c r="I11" s="17" t="str">
        <x:v>FALSE</x:v>
      </x:c>
      <x:c r="J11" s="17" t="str">
        <x:v>No model was inferred from product name.</x:v>
      </x:c>
    </x:row>
    <x:row r="12">
      <x:c r="A12" s="17" t="str">
        <x:v>ISS-011</x:v>
      </x:c>
      <x:c r="B12" s="17" t="str">
        <x:v>HIGH</x:v>
      </x:c>
      <x:c r="C12" s="17" t="str">
        <x:v>THD_WBP31TS</x:v>
      </x:c>
      <x:c r="D12" s="17" t="str">
        <x:v>THD</x:v>
      </x:c>
      <x:c r="E12" s="17" t="str">
        <x:v>primary_keyword</x:v>
      </x:c>
      <x:c r="F12" s="17" t="str">
        <x:v>MISSING_PRIMARY_KEYWORD</x:v>
      </x:c>
      <x:c r="G12" s="17" t="str">
        <x:v>[blank]</x:v>
      </x:c>
      <x:c r="H12" s="17" t="str">
        <x:v>User to provide the intended primary keyword; do not infer it.</x:v>
      </x:c>
      <x:c r="I12" s="17" t="str">
        <x:v>FALSE</x:v>
      </x:c>
      <x:c r="J12" s="17" t="str">
        <x:v>Blocks rank-monitor scope approval only.</x:v>
      </x:c>
    </x:row>
    <x:row r="13">
      <x:c r="A13" s="17" t="str">
        <x:v>ISS-012</x:v>
      </x:c>
      <x:c r="B13" s="17" t="str">
        <x:v>MEDIUM</x:v>
      </x:c>
      <x:c r="C13" s="17" t="str">
        <x:v>THD_WBP31TS</x:v>
      </x:c>
      <x:c r="D13" s="17" t="str">
        <x:v>THD</x:v>
      </x:c>
      <x:c r="E13" s="17" t="str">
        <x:v>zip_code</x:v>
      </x:c>
      <x:c r="F13" s="17" t="str">
        <x:v>INVALID_ZIP_CODE</x:v>
      </x:c>
      <x:c r="G13" s="17" t="str">
        <x:v>[blank]</x:v>
      </x:c>
      <x:c r="H13" s="17" t="str">
        <x:v>User to provide a five-digit US ZIP if rank monitoring is requested.</x:v>
      </x:c>
      <x:c r="I13" s="17" t="str">
        <x:v>FALSE</x:v>
      </x:c>
      <x:c r="J13" s="17" t="str">
        <x:v>ZIP is required only for applicable location-sensitive rank scope.</x:v>
      </x:c>
    </x:row>
    <x:row r="14">
      <x:c r="A14" s="17" t="str">
        <x:v>ISS-013</x:v>
      </x:c>
      <x:c r="B14" s="17" t="str">
        <x:v>MEDIUM</x:v>
      </x:c>
      <x:c r="C14" s="17" t="str">
        <x:v>THD_WB26GTC</x:v>
      </x:c>
      <x:c r="D14" s="17" t="str">
        <x:v>THD</x:v>
      </x:c>
      <x:c r="E14" s="17" t="str">
        <x:v>model</x:v>
      </x:c>
      <x:c r="F14" s="17" t="str">
        <x:v>MISSING_MODEL</x:v>
      </x:c>
      <x:c r="G14" s="17" t="str">
        <x:v>[blank]</x:v>
      </x:c>
      <x:c r="H14" s="17" t="str">
        <x:v>User to confirm product model before Phase 2 selection.</x:v>
      </x:c>
      <x:c r="I14" s="17" t="str">
        <x:v>FALSE</x:v>
      </x:c>
      <x:c r="J14" s="17" t="str">
        <x:v>No model was inferred from product name.</x:v>
      </x:c>
    </x:row>
    <x:row r="15">
      <x:c r="A15" s="17" t="str">
        <x:v>ISS-014</x:v>
      </x:c>
      <x:c r="B15" s="17" t="str">
        <x:v>HIGH</x:v>
      </x:c>
      <x:c r="C15" s="17" t="str">
        <x:v>THD_WB26GTC</x:v>
      </x:c>
      <x:c r="D15" s="17" t="str">
        <x:v>THD</x:v>
      </x:c>
      <x:c r="E15" s="17" t="str">
        <x:v>primary_keyword</x:v>
      </x:c>
      <x:c r="F15" s="17" t="str">
        <x:v>MISSING_PRIMARY_KEYWORD</x:v>
      </x:c>
      <x:c r="G15" s="17" t="str">
        <x:v>[blank]</x:v>
      </x:c>
      <x:c r="H15" s="17" t="str">
        <x:v>User to provide the intended primary keyword; do not infer it.</x:v>
      </x:c>
      <x:c r="I15" s="17" t="str">
        <x:v>FALSE</x:v>
      </x:c>
      <x:c r="J15" s="17" t="str">
        <x:v>Blocks rank-monitor scope approval only.</x:v>
      </x:c>
    </x:row>
    <x:row r="16">
      <x:c r="A16" s="17" t="str">
        <x:v>ISS-015</x:v>
      </x:c>
      <x:c r="B16" s="17" t="str">
        <x:v>MEDIUM</x:v>
      </x:c>
      <x:c r="C16" s="17" t="str">
        <x:v>THD_WB26GTC</x:v>
      </x:c>
      <x:c r="D16" s="17" t="str">
        <x:v>THD</x:v>
      </x:c>
      <x:c r="E16" s="17" t="str">
        <x:v>zip_code</x:v>
      </x:c>
      <x:c r="F16" s="17" t="str">
        <x:v>INVALID_ZIP_CODE</x:v>
      </x:c>
      <x:c r="G16" s="17" t="str">
        <x:v>[blank]</x:v>
      </x:c>
      <x:c r="H16" s="17" t="str">
        <x:v>User to provide a five-digit US ZIP if rank monitoring is requested.</x:v>
      </x:c>
      <x:c r="I16" s="17" t="str">
        <x:v>FALSE</x:v>
      </x:c>
      <x:c r="J16" s="17" t="str">
        <x:v>ZIP is required only for applicable location-sensitive rank scope.</x:v>
      </x:c>
    </x:row>
    <x:row r="17">
      <x:c r="A17" s="17" t="str">
        <x:v>ISS-016</x:v>
      </x:c>
      <x:c r="B17" s="17" t="str">
        <x:v>MEDIUM</x:v>
      </x:c>
      <x:c r="C17" s="17" t="str">
        <x:v>THD_WBBPBL43</x:v>
      </x:c>
      <x:c r="D17" s="17" t="str">
        <x:v>THD</x:v>
      </x:c>
      <x:c r="E17" s="17" t="str">
        <x:v>model</x:v>
      </x:c>
      <x:c r="F17" s="17" t="str">
        <x:v>MISSING_MODEL</x:v>
      </x:c>
      <x:c r="G17" s="17" t="str">
        <x:v>[blank]</x:v>
      </x:c>
      <x:c r="H17" s="17" t="str">
        <x:v>User to confirm product model before Phase 2 selection.</x:v>
      </x:c>
      <x:c r="I17" s="17" t="str">
        <x:v>FALSE</x:v>
      </x:c>
      <x:c r="J17" s="17" t="str">
        <x:v>No model was inferred from product name.</x:v>
      </x:c>
    </x:row>
    <x:row r="18">
      <x:c r="A18" s="17" t="str">
        <x:v>ISS-017</x:v>
      </x:c>
      <x:c r="B18" s="17" t="str">
        <x:v>HIGH</x:v>
      </x:c>
      <x:c r="C18" s="17" t="str">
        <x:v>THD_WBBPBL43</x:v>
      </x:c>
      <x:c r="D18" s="17" t="str">
        <x:v>THD</x:v>
      </x:c>
      <x:c r="E18" s="17" t="str">
        <x:v>primary_keyword</x:v>
      </x:c>
      <x:c r="F18" s="17" t="str">
        <x:v>MISSING_PRIMARY_KEYWORD</x:v>
      </x:c>
      <x:c r="G18" s="17" t="str">
        <x:v>[blank]</x:v>
      </x:c>
      <x:c r="H18" s="17" t="str">
        <x:v>User to provide the intended primary keyword; do not infer it.</x:v>
      </x:c>
      <x:c r="I18" s="17" t="str">
        <x:v>FALSE</x:v>
      </x:c>
      <x:c r="J18" s="17" t="str">
        <x:v>Blocks rank-monitor scope approval only.</x:v>
      </x:c>
    </x:row>
    <x:row r="19">
      <x:c r="A19" s="17" t="str">
        <x:v>ISS-018</x:v>
      </x:c>
      <x:c r="B19" s="17" t="str">
        <x:v>MEDIUM</x:v>
      </x:c>
      <x:c r="C19" s="17" t="str">
        <x:v>THD_WBBPBL43</x:v>
      </x:c>
      <x:c r="D19" s="17" t="str">
        <x:v>THD</x:v>
      </x:c>
      <x:c r="E19" s="17" t="str">
        <x:v>zip_code</x:v>
      </x:c>
      <x:c r="F19" s="17" t="str">
        <x:v>INVALID_ZIP_CODE</x:v>
      </x:c>
      <x:c r="G19" s="17" t="str">
        <x:v>[blank]</x:v>
      </x:c>
      <x:c r="H19" s="17" t="str">
        <x:v>User to provide a five-digit US ZIP if rank monitoring is requested.</x:v>
      </x:c>
      <x:c r="I19" s="17" t="str">
        <x:v>FALSE</x:v>
      </x:c>
      <x:c r="J19" s="17" t="str">
        <x:v>ZIP is required only for applicable location-sensitive rank scope.</x:v>
      </x:c>
    </x:row>
    <x:row r="20">
      <x:c r="A20" s="17" t="str">
        <x:v>ISS-019</x:v>
      </x:c>
      <x:c r="B20" s="17" t="str">
        <x:v>MEDIUM</x:v>
      </x:c>
      <x:c r="C20" s="17" t="str">
        <x:v>THD_WB53CULT</x:v>
      </x:c>
      <x:c r="D20" s="17" t="str">
        <x:v>THD</x:v>
      </x:c>
      <x:c r="E20" s="17" t="str">
        <x:v>model</x:v>
      </x:c>
      <x:c r="F20" s="17" t="str">
        <x:v>MISSING_MODEL</x:v>
      </x:c>
      <x:c r="G20" s="17" t="str">
        <x:v>[blank]</x:v>
      </x:c>
      <x:c r="H20" s="17" t="str">
        <x:v>User to confirm product model before Phase 2 selection.</x:v>
      </x:c>
      <x:c r="I20" s="17" t="str">
        <x:v>FALSE</x:v>
      </x:c>
      <x:c r="J20" s="17" t="str">
        <x:v>No model was inferred from product name.</x:v>
      </x:c>
    </x:row>
    <x:row r="21">
      <x:c r="A21" s="17" t="str">
        <x:v>ISS-020</x:v>
      </x:c>
      <x:c r="B21" s="17" t="str">
        <x:v>HIGH</x:v>
      </x:c>
      <x:c r="C21" s="17" t="str">
        <x:v>THD_WB53CULT</x:v>
      </x:c>
      <x:c r="D21" s="17" t="str">
        <x:v>THD</x:v>
      </x:c>
      <x:c r="E21" s="17" t="str">
        <x:v>primary_keyword</x:v>
      </x:c>
      <x:c r="F21" s="17" t="str">
        <x:v>MISSING_PRIMARY_KEYWORD</x:v>
      </x:c>
      <x:c r="G21" s="17" t="str">
        <x:v>[blank]</x:v>
      </x:c>
      <x:c r="H21" s="17" t="str">
        <x:v>User to provide the intended primary keyword; do not infer it.</x:v>
      </x:c>
      <x:c r="I21" s="17" t="str">
        <x:v>FALSE</x:v>
      </x:c>
      <x:c r="J21" s="17" t="str">
        <x:v>Blocks rank-monitor scope approval only.</x:v>
      </x:c>
    </x:row>
    <x:row r="22">
      <x:c r="A22" s="17" t="str">
        <x:v>ISS-021</x:v>
      </x:c>
      <x:c r="B22" s="17" t="str">
        <x:v>MEDIUM</x:v>
      </x:c>
      <x:c r="C22" s="17" t="str">
        <x:v>THD_WB53CULT</x:v>
      </x:c>
      <x:c r="D22" s="17" t="str">
        <x:v>THD</x:v>
      </x:c>
      <x:c r="E22" s="17" t="str">
        <x:v>zip_code</x:v>
      </x:c>
      <x:c r="F22" s="17" t="str">
        <x:v>INVALID_ZIP_CODE</x:v>
      </x:c>
      <x:c r="G22" s="17" t="str">
        <x:v>[blank]</x:v>
      </x:c>
      <x:c r="H22" s="17" t="str">
        <x:v>User to provide a five-digit US ZIP if rank monitoring is requested.</x:v>
      </x:c>
      <x:c r="I22" s="17" t="str">
        <x:v>FALSE</x:v>
      </x:c>
      <x:c r="J22" s="17" t="str">
        <x:v>ZIP is required only for applicable location-sensitive rank scope.</x:v>
      </x:c>
    </x:row>
    <x:row r="23">
      <x:c r="A23" s="17" t="str">
        <x:v>ISS-022</x:v>
      </x:c>
      <x:c r="B23" s="17" t="str">
        <x:v>MEDIUM</x:v>
      </x:c>
      <x:c r="C23" s="17" t="str">
        <x:v>THD_WB52CCBPB</x:v>
      </x:c>
      <x:c r="D23" s="17" t="str">
        <x:v>THD</x:v>
      </x:c>
      <x:c r="E23" s="17" t="str">
        <x:v>model</x:v>
      </x:c>
      <x:c r="F23" s="17" t="str">
        <x:v>MISSING_MODEL</x:v>
      </x:c>
      <x:c r="G23" s="17" t="str">
        <x:v>[blank]</x:v>
      </x:c>
      <x:c r="H23" s="17" t="str">
        <x:v>User to confirm product model before Phase 2 selection.</x:v>
      </x:c>
      <x:c r="I23" s="17" t="str">
        <x:v>FALSE</x:v>
      </x:c>
      <x:c r="J23" s="17" t="str">
        <x:v>No model was inferred from product name.</x:v>
      </x:c>
    </x:row>
    <x:row r="24">
      <x:c r="A24" s="17" t="str">
        <x:v>ISS-023</x:v>
      </x:c>
      <x:c r="B24" s="17" t="str">
        <x:v>HIGH</x:v>
      </x:c>
      <x:c r="C24" s="17" t="str">
        <x:v>THD_WB52CCBPB</x:v>
      </x:c>
      <x:c r="D24" s="17" t="str">
        <x:v>THD</x:v>
      </x:c>
      <x:c r="E24" s="17" t="str">
        <x:v>primary_keyword</x:v>
      </x:c>
      <x:c r="F24" s="17" t="str">
        <x:v>MISSING_PRIMARY_KEYWORD</x:v>
      </x:c>
      <x:c r="G24" s="17" t="str">
        <x:v>[blank]</x:v>
      </x:c>
      <x:c r="H24" s="17" t="str">
        <x:v>User to provide the intended primary keyword; do not infer it.</x:v>
      </x:c>
      <x:c r="I24" s="17" t="str">
        <x:v>FALSE</x:v>
      </x:c>
      <x:c r="J24" s="17" t="str">
        <x:v>Blocks rank-monitor scope approval only.</x:v>
      </x:c>
    </x:row>
    <x:row r="25">
      <x:c r="A25" s="17" t="str">
        <x:v>ISS-024</x:v>
      </x:c>
      <x:c r="B25" s="17" t="str">
        <x:v>MEDIUM</x:v>
      </x:c>
      <x:c r="C25" s="17" t="str">
        <x:v>THD_WB52CCBPB</x:v>
      </x:c>
      <x:c r="D25" s="17" t="str">
        <x:v>THD</x:v>
      </x:c>
      <x:c r="E25" s="17" t="str">
        <x:v>zip_code</x:v>
      </x:c>
      <x:c r="F25" s="17" t="str">
        <x:v>INVALID_ZIP_CODE</x:v>
      </x:c>
      <x:c r="G25" s="17" t="str">
        <x:v>[blank]</x:v>
      </x:c>
      <x:c r="H25" s="17" t="str">
        <x:v>User to provide a five-digit US ZIP if rank monitoring is requested.</x:v>
      </x:c>
      <x:c r="I25" s="17" t="str">
        <x:v>FALSE</x:v>
      </x:c>
      <x:c r="J25" s="17" t="str">
        <x:v>ZIP is required only for applicable location-sensitive rank scope.</x:v>
      </x:c>
    </x:row>
    <x:row r="26">
      <x:c r="A26" s="17" t="str">
        <x:v>ISS-025</x:v>
      </x:c>
      <x:c r="B26" s="17" t="str">
        <x:v>MEDIUM</x:v>
      </x:c>
      <x:c r="C26" s="17" t="str">
        <x:v>THD_SKRMS4</x:v>
      </x:c>
      <x:c r="D26" s="17" t="str">
        <x:v>THD</x:v>
      </x:c>
      <x:c r="E26" s="17" t="str">
        <x:v>model</x:v>
      </x:c>
      <x:c r="F26" s="17" t="str">
        <x:v>MISSING_MODEL</x:v>
      </x:c>
      <x:c r="G26" s="17" t="str">
        <x:v>[blank]</x:v>
      </x:c>
      <x:c r="H26" s="17" t="str">
        <x:v>User to confirm product model before Phase 2 selection.</x:v>
      </x:c>
      <x:c r="I26" s="17" t="str">
        <x:v>FALSE</x:v>
      </x:c>
      <x:c r="J26" s="17" t="str">
        <x:v>No model was inferred from product name.</x:v>
      </x:c>
    </x:row>
    <x:row r="27">
      <x:c r="A27" s="17" t="str">
        <x:v>ISS-026</x:v>
      </x:c>
      <x:c r="B27" s="17" t="str">
        <x:v>HIGH</x:v>
      </x:c>
      <x:c r="C27" s="17" t="str">
        <x:v>THD_SKRMS4</x:v>
      </x:c>
      <x:c r="D27" s="17" t="str">
        <x:v>THD</x:v>
      </x:c>
      <x:c r="E27" s="17" t="str">
        <x:v>primary_keyword</x:v>
      </x:c>
      <x:c r="F27" s="17" t="str">
        <x:v>MISSING_PRIMARY_KEYWORD</x:v>
      </x:c>
      <x:c r="G27" s="17" t="str">
        <x:v>[blank]</x:v>
      </x:c>
      <x:c r="H27" s="17" t="str">
        <x:v>User to provide the intended primary keyword; do not infer it.</x:v>
      </x:c>
      <x:c r="I27" s="17" t="str">
        <x:v>FALSE</x:v>
      </x:c>
      <x:c r="J27" s="17" t="str">
        <x:v>Blocks rank-monitor scope approval only.</x:v>
      </x:c>
    </x:row>
    <x:row r="28">
      <x:c r="A28" s="17" t="str">
        <x:v>ISS-027</x:v>
      </x:c>
      <x:c r="B28" s="17" t="str">
        <x:v>MEDIUM</x:v>
      </x:c>
      <x:c r="C28" s="17" t="str">
        <x:v>THD_SKRMS4</x:v>
      </x:c>
      <x:c r="D28" s="17" t="str">
        <x:v>THD</x:v>
      </x:c>
      <x:c r="E28" s="17" t="str">
        <x:v>zip_code</x:v>
      </x:c>
      <x:c r="F28" s="17" t="str">
        <x:v>INVALID_ZIP_CODE</x:v>
      </x:c>
      <x:c r="G28" s="17" t="str">
        <x:v>[blank]</x:v>
      </x:c>
      <x:c r="H28" s="17" t="str">
        <x:v>User to provide a five-digit US ZIP if rank monitoring is requested.</x:v>
      </x:c>
      <x:c r="I28" s="17" t="str">
        <x:v>FALSE</x:v>
      </x:c>
      <x:c r="J28" s="17" t="str">
        <x:v>ZIP is required only for applicable location-sensitive rank scope.</x:v>
      </x:c>
    </x:row>
    <x:row r="29">
      <x:c r="A29" s="17" t="str">
        <x:v>ISS-028</x:v>
      </x:c>
      <x:c r="B29" s="17" t="str">
        <x:v>MEDIUM</x:v>
      </x:c>
      <x:c r="C29" s="17" t="str">
        <x:v>THD_WBP52TS</x:v>
      </x:c>
      <x:c r="D29" s="17" t="str">
        <x:v>THD</x:v>
      </x:c>
      <x:c r="E29" s="17" t="str">
        <x:v>model</x:v>
      </x:c>
      <x:c r="F29" s="17" t="str">
        <x:v>MISSING_MODEL</x:v>
      </x:c>
      <x:c r="G29" s="17" t="str">
        <x:v>[blank]</x:v>
      </x:c>
      <x:c r="H29" s="17" t="str">
        <x:v>User to confirm product model before Phase 2 selection.</x:v>
      </x:c>
      <x:c r="I29" s="17" t="str">
        <x:v>FALSE</x:v>
      </x:c>
      <x:c r="J29" s="17" t="str">
        <x:v>No model was inferred from product name.</x:v>
      </x:c>
    </x:row>
    <x:row r="30">
      <x:c r="A30" s="17" t="str">
        <x:v>ISS-029</x:v>
      </x:c>
      <x:c r="B30" s="17" t="str">
        <x:v>HIGH</x:v>
      </x:c>
      <x:c r="C30" s="17" t="str">
        <x:v>THD_WBP52TS</x:v>
      </x:c>
      <x:c r="D30" s="17" t="str">
        <x:v>THD</x:v>
      </x:c>
      <x:c r="E30" s="17" t="str">
        <x:v>primary_keyword</x:v>
      </x:c>
      <x:c r="F30" s="17" t="str">
        <x:v>MISSING_PRIMARY_KEYWORD</x:v>
      </x:c>
      <x:c r="G30" s="17" t="str">
        <x:v>[blank]</x:v>
      </x:c>
      <x:c r="H30" s="17" t="str">
        <x:v>User to provide the intended primary keyword; do not infer it.</x:v>
      </x:c>
      <x:c r="I30" s="17" t="str">
        <x:v>FALSE</x:v>
      </x:c>
      <x:c r="J30" s="17" t="str">
        <x:v>Blocks rank-monitor scope approval only.</x:v>
      </x:c>
    </x:row>
    <x:row r="31">
      <x:c r="A31" s="17" t="str">
        <x:v>ISS-030</x:v>
      </x:c>
      <x:c r="B31" s="17" t="str">
        <x:v>MEDIUM</x:v>
      </x:c>
      <x:c r="C31" s="17" t="str">
        <x:v>THD_WBP52TS</x:v>
      </x:c>
      <x:c r="D31" s="17" t="str">
        <x:v>THD</x:v>
      </x:c>
      <x:c r="E31" s="17" t="str">
        <x:v>zip_code</x:v>
      </x:c>
      <x:c r="F31" s="17" t="str">
        <x:v>INVALID_ZIP_CODE</x:v>
      </x:c>
      <x:c r="G31" s="17" t="str">
        <x:v>[blank]</x:v>
      </x:c>
      <x:c r="H31" s="17" t="str">
        <x:v>User to provide a five-digit US ZIP if rank monitoring is requested.</x:v>
      </x:c>
      <x:c r="I31" s="17" t="str">
        <x:v>FALSE</x:v>
      </x:c>
      <x:c r="J31" s="17" t="str">
        <x:v>ZIP is required only for applicable location-sensitive rank scope.</x:v>
      </x:c>
    </x:row>
    <x:row r="32">
      <x:c r="A32" s="17" t="str">
        <x:v>ISS-031</x:v>
      </x:c>
      <x:c r="B32" s="17" t="str">
        <x:v>MEDIUM</x:v>
      </x:c>
      <x:c r="C32" s="17" t="str">
        <x:v>LOWES_ORIONX7</x:v>
      </x:c>
      <x:c r="D32" s="17" t="str">
        <x:v>LOWES</x:v>
      </x:c>
      <x:c r="E32" s="17" t="str">
        <x:v>model</x:v>
      </x:c>
      <x:c r="F32" s="17" t="str">
        <x:v>MISSING_MODEL</x:v>
      </x:c>
      <x:c r="G32" s="17" t="str">
        <x:v>[blank]</x:v>
      </x:c>
      <x:c r="H32" s="17" t="str">
        <x:v>User to confirm product model before Phase 2 selection.</x:v>
      </x:c>
      <x:c r="I32" s="17" t="str">
        <x:v>FALSE</x:v>
      </x:c>
      <x:c r="J32" s="17" t="str">
        <x:v>No model was inferred from product name.</x:v>
      </x:c>
    </x:row>
    <x:row r="33">
      <x:c r="A33" s="17" t="str">
        <x:v>ISS-032</x:v>
      </x:c>
      <x:c r="B33" s="17" t="str">
        <x:v>HIGH</x:v>
      </x:c>
      <x:c r="C33" s="17" t="str">
        <x:v>LOWES_ORIONX7</x:v>
      </x:c>
      <x:c r="D33" s="17" t="str">
        <x:v>LOWES</x:v>
      </x:c>
      <x:c r="E33" s="17" t="str">
        <x:v>primary_keyword</x:v>
      </x:c>
      <x:c r="F33" s="17" t="str">
        <x:v>MISSING_PRIMARY_KEYWORD</x:v>
      </x:c>
      <x:c r="G33" s="17" t="str">
        <x:v>[blank]</x:v>
      </x:c>
      <x:c r="H33" s="17" t="str">
        <x:v>User to provide the intended primary keyword; do not infer it.</x:v>
      </x:c>
      <x:c r="I33" s="17" t="str">
        <x:v>FALSE</x:v>
      </x:c>
      <x:c r="J33" s="17" t="str">
        <x:v>Blocks rank-monitor scope approval only.</x:v>
      </x:c>
    </x:row>
    <x:row r="34">
      <x:c r="A34" s="17" t="str">
        <x:v>ISS-033</x:v>
      </x:c>
      <x:c r="B34" s="17" t="str">
        <x:v>MEDIUM</x:v>
      </x:c>
      <x:c r="C34" s="17" t="str">
        <x:v>LOWES_ORIONX7</x:v>
      </x:c>
      <x:c r="D34" s="17" t="str">
        <x:v>LOWES</x:v>
      </x:c>
      <x:c r="E34" s="17" t="str">
        <x:v>zip_code</x:v>
      </x:c>
      <x:c r="F34" s="17" t="str">
        <x:v>INVALID_ZIP_CODE</x:v>
      </x:c>
      <x:c r="G34" s="17" t="str">
        <x:v>[blank]</x:v>
      </x:c>
      <x:c r="H34" s="17" t="str">
        <x:v>User to provide a five-digit US ZIP if rank monitoring is requested.</x:v>
      </x:c>
      <x:c r="I34" s="17" t="str">
        <x:v>FALSE</x:v>
      </x:c>
      <x:c r="J34" s="17" t="str">
        <x:v>ZIP is required only for applicable location-sensitive rank scope.</x:v>
      </x:c>
    </x:row>
    <x:row r="35">
      <x:c r="A35" s="17" t="str">
        <x:v>ISS-034</x:v>
      </x:c>
      <x:c r="B35" s="17" t="str">
        <x:v>MEDIUM</x:v>
      </x:c>
      <x:c r="C35" s="17" t="str">
        <x:v>LOWES_RMA1202L20VU</x:v>
      </x:c>
      <x:c r="D35" s="17" t="str">
        <x:v>LOWES</x:v>
      </x:c>
      <x:c r="E35" s="17" t="str">
        <x:v>model</x:v>
      </x:c>
      <x:c r="F35" s="17" t="str">
        <x:v>MISSING_MODEL</x:v>
      </x:c>
      <x:c r="G35" s="17" t="str">
        <x:v>[blank]</x:v>
      </x:c>
      <x:c r="H35" s="17" t="str">
        <x:v>User to confirm product model before Phase 2 selection.</x:v>
      </x:c>
      <x:c r="I35" s="17" t="str">
        <x:v>FALSE</x:v>
      </x:c>
      <x:c r="J35" s="17" t="str">
        <x:v>No model was inferred from product name.</x:v>
      </x:c>
    </x:row>
    <x:row r="36">
      <x:c r="A36" s="17" t="str">
        <x:v>ISS-035</x:v>
      </x:c>
      <x:c r="B36" s="17" t="str">
        <x:v>HIGH</x:v>
      </x:c>
      <x:c r="C36" s="17" t="str">
        <x:v>LOWES_RMA1202L20VU</x:v>
      </x:c>
      <x:c r="D36" s="17" t="str">
        <x:v>LOWES</x:v>
      </x:c>
      <x:c r="E36" s="17" t="str">
        <x:v>primary_keyword</x:v>
      </x:c>
      <x:c r="F36" s="17" t="str">
        <x:v>MISSING_PRIMARY_KEYWORD</x:v>
      </x:c>
      <x:c r="G36" s="17" t="str">
        <x:v>[blank]</x:v>
      </x:c>
      <x:c r="H36" s="17" t="str">
        <x:v>User to provide the intended primary keyword; do not infer it.</x:v>
      </x:c>
      <x:c r="I36" s="17" t="str">
        <x:v>FALSE</x:v>
      </x:c>
      <x:c r="J36" s="17" t="str">
        <x:v>Blocks rank-monitor scope approval only.</x:v>
      </x:c>
    </x:row>
    <x:row r="37">
      <x:c r="A37" s="17" t="str">
        <x:v>ISS-036</x:v>
      </x:c>
      <x:c r="B37" s="17" t="str">
        <x:v>MEDIUM</x:v>
      </x:c>
      <x:c r="C37" s="17" t="str">
        <x:v>LOWES_RMA1202L20VU</x:v>
      </x:c>
      <x:c r="D37" s="17" t="str">
        <x:v>LOWES</x:v>
      </x:c>
      <x:c r="E37" s="17" t="str">
        <x:v>zip_code</x:v>
      </x:c>
      <x:c r="F37" s="17" t="str">
        <x:v>INVALID_ZIP_CODE</x:v>
      </x:c>
      <x:c r="G37" s="17" t="str">
        <x:v>[blank]</x:v>
      </x:c>
      <x:c r="H37" s="17" t="str">
        <x:v>User to provide a five-digit US ZIP if rank monitoring is requested.</x:v>
      </x:c>
      <x:c r="I37" s="17" t="str">
        <x:v>FALSE</x:v>
      </x:c>
      <x:c r="J37" s="17" t="str">
        <x:v>ZIP is required only for applicable location-sensitive rank scope.</x:v>
      </x:c>
    </x:row>
    <x:row r="38">
      <x:c r="A38" s="17" t="str">
        <x:v>ISS-037</x:v>
      </x:c>
      <x:c r="B38" s="17" t="str">
        <x:v>MEDIUM</x:v>
      </x:c>
      <x:c r="C38" s="17" t="str">
        <x:v>LOWES_WB20V16LM</x:v>
      </x:c>
      <x:c r="D38" s="17" t="str">
        <x:v>LOWES</x:v>
      </x:c>
      <x:c r="E38" s="17" t="str">
        <x:v>model</x:v>
      </x:c>
      <x:c r="F38" s="17" t="str">
        <x:v>MISSING_MODEL</x:v>
      </x:c>
      <x:c r="G38" s="17" t="str">
        <x:v>[blank]</x:v>
      </x:c>
      <x:c r="H38" s="17" t="str">
        <x:v>User to confirm product model before Phase 2 selection.</x:v>
      </x:c>
      <x:c r="I38" s="17" t="str">
        <x:v>FALSE</x:v>
      </x:c>
      <x:c r="J38" s="17" t="str">
        <x:v>No model was inferred from product name.</x:v>
      </x:c>
    </x:row>
    <x:row r="39">
      <x:c r="A39" s="17" t="str">
        <x:v>ISS-038</x:v>
      </x:c>
      <x:c r="B39" s="17" t="str">
        <x:v>HIGH</x:v>
      </x:c>
      <x:c r="C39" s="17" t="str">
        <x:v>LOWES_WB20V16LM</x:v>
      </x:c>
      <x:c r="D39" s="17" t="str">
        <x:v>LOWES</x:v>
      </x:c>
      <x:c r="E39" s="17" t="str">
        <x:v>primary_keyword</x:v>
      </x:c>
      <x:c r="F39" s="17" t="str">
        <x:v>MISSING_PRIMARY_KEYWORD</x:v>
      </x:c>
      <x:c r="G39" s="17" t="str">
        <x:v>[blank]</x:v>
      </x:c>
      <x:c r="H39" s="17" t="str">
        <x:v>User to provide the intended primary keyword; do not infer it.</x:v>
      </x:c>
      <x:c r="I39" s="17" t="str">
        <x:v>FALSE</x:v>
      </x:c>
      <x:c r="J39" s="17" t="str">
        <x:v>Blocks rank-monitor scope approval only.</x:v>
      </x:c>
    </x:row>
    <x:row r="40">
      <x:c r="A40" s="17" t="str">
        <x:v>ISS-039</x:v>
      </x:c>
      <x:c r="B40" s="17" t="str">
        <x:v>MEDIUM</x:v>
      </x:c>
      <x:c r="C40" s="17" t="str">
        <x:v>LOWES_WB20V16LM</x:v>
      </x:c>
      <x:c r="D40" s="17" t="str">
        <x:v>LOWES</x:v>
      </x:c>
      <x:c r="E40" s="17" t="str">
        <x:v>zip_code</x:v>
      </x:c>
      <x:c r="F40" s="17" t="str">
        <x:v>INVALID_ZIP_CODE</x:v>
      </x:c>
      <x:c r="G40" s="17" t="str">
        <x:v>[blank]</x:v>
      </x:c>
      <x:c r="H40" s="17" t="str">
        <x:v>User to provide a five-digit US ZIP if rank monitoring is requested.</x:v>
      </x:c>
      <x:c r="I40" s="17" t="str">
        <x:v>FALSE</x:v>
      </x:c>
      <x:c r="J40" s="17" t="str">
        <x:v>ZIP is required only for applicable location-sensitive rank scope.</x:v>
      </x:c>
    </x:row>
    <x:row r="41">
      <x:c r="A41" s="17" t="str">
        <x:v>ISS-040</x:v>
      </x:c>
      <x:c r="B41" s="17" t="str">
        <x:v>MEDIUM</x:v>
      </x:c>
      <x:c r="C41" s="17" t="str">
        <x:v>LOWES_SKRMV3</x:v>
      </x:c>
      <x:c r="D41" s="17" t="str">
        <x:v>LOWES</x:v>
      </x:c>
      <x:c r="E41" s="17" t="str">
        <x:v>model</x:v>
      </x:c>
      <x:c r="F41" s="17" t="str">
        <x:v>MISSING_MODEL</x:v>
      </x:c>
      <x:c r="G41" s="17" t="str">
        <x:v>[blank]</x:v>
      </x:c>
      <x:c r="H41" s="17" t="str">
        <x:v>User to confirm product model before Phase 2 selection.</x:v>
      </x:c>
      <x:c r="I41" s="17" t="str">
        <x:v>FALSE</x:v>
      </x:c>
      <x:c r="J41" s="17" t="str">
        <x:v>No model was inferred from product name.</x:v>
      </x:c>
    </x:row>
    <x:row r="42">
      <x:c r="A42" s="17" t="str">
        <x:v>ISS-041</x:v>
      </x:c>
      <x:c r="B42" s="17" t="str">
        <x:v>HIGH</x:v>
      </x:c>
      <x:c r="C42" s="17" t="str">
        <x:v>LOWES_SKRMV3</x:v>
      </x:c>
      <x:c r="D42" s="17" t="str">
        <x:v>LOWES</x:v>
      </x:c>
      <x:c r="E42" s="17" t="str">
        <x:v>primary_keyword</x:v>
      </x:c>
      <x:c r="F42" s="17" t="str">
        <x:v>MISSING_PRIMARY_KEYWORD</x:v>
      </x:c>
      <x:c r="G42" s="17" t="str">
        <x:v>[blank]</x:v>
      </x:c>
      <x:c r="H42" s="17" t="str">
        <x:v>User to provide the intended primary keyword; do not infer it.</x:v>
      </x:c>
      <x:c r="I42" s="17" t="str">
        <x:v>FALSE</x:v>
      </x:c>
      <x:c r="J42" s="17" t="str">
        <x:v>Blocks rank-monitor scope approval only.</x:v>
      </x:c>
    </x:row>
    <x:row r="43">
      <x:c r="A43" s="17" t="str">
        <x:v>ISS-042</x:v>
      </x:c>
      <x:c r="B43" s="17" t="str">
        <x:v>MEDIUM</x:v>
      </x:c>
      <x:c r="C43" s="17" t="str">
        <x:v>LOWES_SKRMV3</x:v>
      </x:c>
      <x:c r="D43" s="17" t="str">
        <x:v>LOWES</x:v>
      </x:c>
      <x:c r="E43" s="17" t="str">
        <x:v>zip_code</x:v>
      </x:c>
      <x:c r="F43" s="17" t="str">
        <x:v>INVALID_ZIP_CODE</x:v>
      </x:c>
      <x:c r="G43" s="17" t="str">
        <x:v>[blank]</x:v>
      </x:c>
      <x:c r="H43" s="17" t="str">
        <x:v>User to provide a five-digit US ZIP if rank monitoring is requested.</x:v>
      </x:c>
      <x:c r="I43" s="17" t="str">
        <x:v>FALSE</x:v>
      </x:c>
      <x:c r="J43" s="17" t="str">
        <x:v>ZIP is required only for applicable location-sensitive rank scope.</x:v>
      </x:c>
    </x:row>
    <x:row r="44">
      <x:c r="A44" s="17" t="str">
        <x:v>ISS-043</x:v>
      </x:c>
      <x:c r="B44" s="17" t="str">
        <x:v>MEDIUM</x:v>
      </x:c>
      <x:c r="C44" s="17" t="str">
        <x:v>LOWES_WB40V18PLM</x:v>
      </x:c>
      <x:c r="D44" s="17" t="str">
        <x:v>LOWES</x:v>
      </x:c>
      <x:c r="E44" s="17" t="str">
        <x:v>model</x:v>
      </x:c>
      <x:c r="F44" s="17" t="str">
        <x:v>MISSING_MODEL</x:v>
      </x:c>
      <x:c r="G44" s="17" t="str">
        <x:v>[blank]</x:v>
      </x:c>
      <x:c r="H44" s="17" t="str">
        <x:v>User to confirm product model before Phase 2 selection.</x:v>
      </x:c>
      <x:c r="I44" s="17" t="str">
        <x:v>FALSE</x:v>
      </x:c>
      <x:c r="J44" s="17" t="str">
        <x:v>No model was inferred from product name.</x:v>
      </x:c>
    </x:row>
    <x:row r="45">
      <x:c r="A45" s="17" t="str">
        <x:v>ISS-044</x:v>
      </x:c>
      <x:c r="B45" s="17" t="str">
        <x:v>HIGH</x:v>
      </x:c>
      <x:c r="C45" s="17" t="str">
        <x:v>LOWES_WB40V18PLM</x:v>
      </x:c>
      <x:c r="D45" s="17" t="str">
        <x:v>LOWES</x:v>
      </x:c>
      <x:c r="E45" s="17" t="str">
        <x:v>primary_keyword</x:v>
      </x:c>
      <x:c r="F45" s="17" t="str">
        <x:v>MISSING_PRIMARY_KEYWORD</x:v>
      </x:c>
      <x:c r="G45" s="17" t="str">
        <x:v>[blank]</x:v>
      </x:c>
      <x:c r="H45" s="17" t="str">
        <x:v>User to provide the intended primary keyword; do not infer it.</x:v>
      </x:c>
      <x:c r="I45" s="17" t="str">
        <x:v>FALSE</x:v>
      </x:c>
      <x:c r="J45" s="17" t="str">
        <x:v>Blocks rank-monitor scope approval only.</x:v>
      </x:c>
    </x:row>
    <x:row r="46">
      <x:c r="A46" s="17" t="str">
        <x:v>ISS-045</x:v>
      </x:c>
      <x:c r="B46" s="17" t="str">
        <x:v>MEDIUM</x:v>
      </x:c>
      <x:c r="C46" s="17" t="str">
        <x:v>LOWES_WB40V18PLM</x:v>
      </x:c>
      <x:c r="D46" s="17" t="str">
        <x:v>LOWES</x:v>
      </x:c>
      <x:c r="E46" s="17" t="str">
        <x:v>zip_code</x:v>
      </x:c>
      <x:c r="F46" s="17" t="str">
        <x:v>INVALID_ZIP_CODE</x:v>
      </x:c>
      <x:c r="G46" s="17" t="str">
        <x:v>[blank]</x:v>
      </x:c>
      <x:c r="H46" s="17" t="str">
        <x:v>User to provide a five-digit US ZIP if rank monitoring is requested.</x:v>
      </x:c>
      <x:c r="I46" s="17" t="str">
        <x:v>FALSE</x:v>
      </x:c>
      <x:c r="J46" s="17" t="str">
        <x:v>ZIP is required only for applicable location-sensitive rank scope.</x:v>
      </x:c>
    </x:row>
    <x:row r="47">
      <x:c r="A47" s="17" t="str">
        <x:v>ISS-046</x:v>
      </x:c>
      <x:c r="B47" s="17" t="str">
        <x:v>MEDIUM</x:v>
      </x:c>
      <x:c r="C47" s="17" t="str">
        <x:v>LOWES_SKRMX3PLUS</x:v>
      </x:c>
      <x:c r="D47" s="17" t="str">
        <x:v>LOWES</x:v>
      </x:c>
      <x:c r="E47" s="17" t="str">
        <x:v>model</x:v>
      </x:c>
      <x:c r="F47" s="17" t="str">
        <x:v>MISSING_MODEL</x:v>
      </x:c>
      <x:c r="G47" s="17" t="str">
        <x:v>[blank]</x:v>
      </x:c>
      <x:c r="H47" s="17" t="str">
        <x:v>User to confirm product model before Phase 2 selection.</x:v>
      </x:c>
      <x:c r="I47" s="17" t="str">
        <x:v>FALSE</x:v>
      </x:c>
      <x:c r="J47" s="17" t="str">
        <x:v>No model was inferred from product name.</x:v>
      </x:c>
    </x:row>
    <x:row r="48">
      <x:c r="A48" s="17" t="str">
        <x:v>ISS-047</x:v>
      </x:c>
      <x:c r="B48" s="17" t="str">
        <x:v>HIGH</x:v>
      </x:c>
      <x:c r="C48" s="17" t="str">
        <x:v>LOWES_SKRMX3PLUS</x:v>
      </x:c>
      <x:c r="D48" s="17" t="str">
        <x:v>LOWES</x:v>
      </x:c>
      <x:c r="E48" s="17" t="str">
        <x:v>primary_keyword</x:v>
      </x:c>
      <x:c r="F48" s="17" t="str">
        <x:v>MISSING_PRIMARY_KEYWORD</x:v>
      </x:c>
      <x:c r="G48" s="17" t="str">
        <x:v>[blank]</x:v>
      </x:c>
      <x:c r="H48" s="17" t="str">
        <x:v>User to provide the intended primary keyword; do not infer it.</x:v>
      </x:c>
      <x:c r="I48" s="17" t="str">
        <x:v>FALSE</x:v>
      </x:c>
      <x:c r="J48" s="17" t="str">
        <x:v>Blocks rank-monitor scope approval only.</x:v>
      </x:c>
    </x:row>
    <x:row r="49">
      <x:c r="A49" s="17" t="str">
        <x:v>ISS-048</x:v>
      </x:c>
      <x:c r="B49" s="17" t="str">
        <x:v>MEDIUM</x:v>
      </x:c>
      <x:c r="C49" s="17" t="str">
        <x:v>LOWES_SKRMX3PLUS</x:v>
      </x:c>
      <x:c r="D49" s="17" t="str">
        <x:v>LOWES</x:v>
      </x:c>
      <x:c r="E49" s="17" t="str">
        <x:v>zip_code</x:v>
      </x:c>
      <x:c r="F49" s="17" t="str">
        <x:v>INVALID_ZIP_CODE</x:v>
      </x:c>
      <x:c r="G49" s="17" t="str">
        <x:v>[blank]</x:v>
      </x:c>
      <x:c r="H49" s="17" t="str">
        <x:v>User to provide a five-digit US ZIP if rank monitoring is requested.</x:v>
      </x:c>
      <x:c r="I49" s="17" t="str">
        <x:v>FALSE</x:v>
      </x:c>
      <x:c r="J49" s="17" t="str">
        <x:v>ZIP is required only for applicable location-sensitive rank scope.</x:v>
      </x:c>
    </x:row>
    <x:row r="50">
      <x:c r="A50" s="17" t="str">
        <x:v>ISS-049</x:v>
      </x:c>
      <x:c r="B50" s="17" t="str">
        <x:v>MEDIUM</x:v>
      </x:c>
      <x:c r="C50" s="17" t="str">
        <x:v>LOWES_WB40V14PLM</x:v>
      </x:c>
      <x:c r="D50" s="17" t="str">
        <x:v>LOWES</x:v>
      </x:c>
      <x:c r="E50" s="17" t="str">
        <x:v>product_name</x:v>
      </x:c>
      <x:c r="F50" s="17" t="str">
        <x:v>IDENTITY_UNCERTAIN</x:v>
      </x:c>
      <x:c r="G50" s="17" t="str">
        <x:v>[blank]</x:v>
      </x:c>
      <x:c r="H50" s="17" t="str">
        <x:v>Confirm the product name from retained source or manual page review; do not infer it.</x:v>
      </x:c>
      <x:c r="I50" s="17" t="str">
        <x:v>FALSE</x:v>
      </x:c>
      <x:c r="J50" s="17" t="str">
        <x:v>Historical source contains no product name.</x:v>
      </x:c>
    </x:row>
    <x:row r="51">
      <x:c r="A51" s="17" t="str">
        <x:v>ISS-050</x:v>
      </x:c>
      <x:c r="B51" s="17" t="str">
        <x:v>MEDIUM</x:v>
      </x:c>
      <x:c r="C51" s="17" t="str">
        <x:v>LOWES_WB40V14PLM</x:v>
      </x:c>
      <x:c r="D51" s="17" t="str">
        <x:v>LOWES</x:v>
      </x:c>
      <x:c r="E51" s="17" t="str">
        <x:v>model</x:v>
      </x:c>
      <x:c r="F51" s="17" t="str">
        <x:v>MISSING_MODEL</x:v>
      </x:c>
      <x:c r="G51" s="17" t="str">
        <x:v>[blank]</x:v>
      </x:c>
      <x:c r="H51" s="17" t="str">
        <x:v>User to confirm product model before Phase 2 selection.</x:v>
      </x:c>
      <x:c r="I51" s="17" t="str">
        <x:v>FALSE</x:v>
      </x:c>
      <x:c r="J51" s="17" t="str">
        <x:v>No model was inferred from product name.</x:v>
      </x:c>
    </x:row>
    <x:row r="52">
      <x:c r="A52" s="17" t="str">
        <x:v>ISS-051</x:v>
      </x:c>
      <x:c r="B52" s="17" t="str">
        <x:v>HIGH</x:v>
      </x:c>
      <x:c r="C52" s="17" t="str">
        <x:v>LOWES_WB40V14PLM</x:v>
      </x:c>
      <x:c r="D52" s="17" t="str">
        <x:v>LOWES</x:v>
      </x:c>
      <x:c r="E52" s="17" t="str">
        <x:v>primary_keyword</x:v>
      </x:c>
      <x:c r="F52" s="17" t="str">
        <x:v>MISSING_PRIMARY_KEYWORD</x:v>
      </x:c>
      <x:c r="G52" s="17" t="str">
        <x:v>[blank]</x:v>
      </x:c>
      <x:c r="H52" s="17" t="str">
        <x:v>User to provide the intended primary keyword; do not infer it.</x:v>
      </x:c>
      <x:c r="I52" s="17" t="str">
        <x:v>FALSE</x:v>
      </x:c>
      <x:c r="J52" s="17" t="str">
        <x:v>Blocks rank-monitor scope approval only.</x:v>
      </x:c>
    </x:row>
    <x:row r="53">
      <x:c r="A53" s="17" t="str">
        <x:v>ISS-052</x:v>
      </x:c>
      <x:c r="B53" s="17" t="str">
        <x:v>MEDIUM</x:v>
      </x:c>
      <x:c r="C53" s="17" t="str">
        <x:v>LOWES_WB40V14PLM</x:v>
      </x:c>
      <x:c r="D53" s="17" t="str">
        <x:v>LOWES</x:v>
      </x:c>
      <x:c r="E53" s="17" t="str">
        <x:v>zip_code</x:v>
      </x:c>
      <x:c r="F53" s="17" t="str">
        <x:v>INVALID_ZIP_CODE</x:v>
      </x:c>
      <x:c r="G53" s="17" t="str">
        <x:v>[blank]</x:v>
      </x:c>
      <x:c r="H53" s="17" t="str">
        <x:v>User to provide a five-digit US ZIP if rank monitoring is requested.</x:v>
      </x:c>
      <x:c r="I53" s="17" t="str">
        <x:v>FALSE</x:v>
      </x:c>
      <x:c r="J53" s="17" t="str">
        <x:v>ZIP is required only for applicable location-sensitive rank scope.</x:v>
      </x:c>
    </x:row>
    <x:row r="54">
      <x:c r="A54" s="17" t="str">
        <x:v>ISS-053</x:v>
      </x:c>
      <x:c r="B54" s="17" t="str">
        <x:v>MEDIUM</x:v>
      </x:c>
      <x:c r="C54" s="17" t="str">
        <x:v>LOWES_WB20VTRSBL</x:v>
      </x:c>
      <x:c r="D54" s="17" t="str">
        <x:v>LOWES</x:v>
      </x:c>
      <x:c r="E54" s="17" t="str">
        <x:v>model</x:v>
      </x:c>
      <x:c r="F54" s="17" t="str">
        <x:v>MISSING_MODEL</x:v>
      </x:c>
      <x:c r="G54" s="17" t="str">
        <x:v>[blank]</x:v>
      </x:c>
      <x:c r="H54" s="17" t="str">
        <x:v>User to confirm product model before Phase 2 selection.</x:v>
      </x:c>
      <x:c r="I54" s="17" t="str">
        <x:v>FALSE</x:v>
      </x:c>
      <x:c r="J54" s="17" t="str">
        <x:v>No model was inferred from product name.</x:v>
      </x:c>
    </x:row>
    <x:row r="55">
      <x:c r="A55" s="17" t="str">
        <x:v>ISS-054</x:v>
      </x:c>
      <x:c r="B55" s="17" t="str">
        <x:v>HIGH</x:v>
      </x:c>
      <x:c r="C55" s="17" t="str">
        <x:v>LOWES_WB20VTRSBL</x:v>
      </x:c>
      <x:c r="D55" s="17" t="str">
        <x:v>LOWES</x:v>
      </x:c>
      <x:c r="E55" s="17" t="str">
        <x:v>primary_keyword</x:v>
      </x:c>
      <x:c r="F55" s="17" t="str">
        <x:v>MISSING_PRIMARY_KEYWORD</x:v>
      </x:c>
      <x:c r="G55" s="17" t="str">
        <x:v>[blank]</x:v>
      </x:c>
      <x:c r="H55" s="17" t="str">
        <x:v>User to provide the intended primary keyword; do not infer it.</x:v>
      </x:c>
      <x:c r="I55" s="17" t="str">
        <x:v>FALSE</x:v>
      </x:c>
      <x:c r="J55" s="17" t="str">
        <x:v>Blocks rank-monitor scope approval only.</x:v>
      </x:c>
    </x:row>
    <x:row r="56">
      <x:c r="A56" s="17" t="str">
        <x:v>ISS-055</x:v>
      </x:c>
      <x:c r="B56" s="17" t="str">
        <x:v>MEDIUM</x:v>
      </x:c>
      <x:c r="C56" s="17" t="str">
        <x:v>LOWES_WB20VTRSBL</x:v>
      </x:c>
      <x:c r="D56" s="17" t="str">
        <x:v>LOWES</x:v>
      </x:c>
      <x:c r="E56" s="17" t="str">
        <x:v>zip_code</x:v>
      </x:c>
      <x:c r="F56" s="17" t="str">
        <x:v>INVALID_ZIP_CODE</x:v>
      </x:c>
      <x:c r="G56" s="17" t="str">
        <x:v>[blank]</x:v>
      </x:c>
      <x:c r="H56" s="17" t="str">
        <x:v>User to provide a five-digit US ZIP if rank monitoring is requested.</x:v>
      </x:c>
      <x:c r="I56" s="17" t="str">
        <x:v>FALSE</x:v>
      </x:c>
      <x:c r="J56" s="17" t="str">
        <x:v>ZIP is required only for applicable location-sensitive rank scope.</x:v>
      </x:c>
    </x:row>
    <x:row r="57">
      <x:c r="A57" s="17" t="str">
        <x:v>ISS-056</x:v>
      </x:c>
      <x:c r="B57" s="17" t="str">
        <x:v>MEDIUM</x:v>
      </x:c>
      <x:c r="C57" s="17" t="str">
        <x:v>LOWES_WB20VPS</x:v>
      </x:c>
      <x:c r="D57" s="17" t="str">
        <x:v>LOWES</x:v>
      </x:c>
      <x:c r="E57" s="17" t="str">
        <x:v>model</x:v>
      </x:c>
      <x:c r="F57" s="17" t="str">
        <x:v>MISSING_MODEL</x:v>
      </x:c>
      <x:c r="G57" s="17" t="str">
        <x:v>[blank]</x:v>
      </x:c>
      <x:c r="H57" s="17" t="str">
        <x:v>User to confirm product model before Phase 2 selection.</x:v>
      </x:c>
      <x:c r="I57" s="17" t="str">
        <x:v>FALSE</x:v>
      </x:c>
      <x:c r="J57" s="17" t="str">
        <x:v>No model was inferred from product name.</x:v>
      </x:c>
    </x:row>
    <x:row r="58">
      <x:c r="A58" s="17" t="str">
        <x:v>ISS-057</x:v>
      </x:c>
      <x:c r="B58" s="17" t="str">
        <x:v>HIGH</x:v>
      </x:c>
      <x:c r="C58" s="17" t="str">
        <x:v>LOWES_WB20VPS</x:v>
      </x:c>
      <x:c r="D58" s="17" t="str">
        <x:v>LOWES</x:v>
      </x:c>
      <x:c r="E58" s="17" t="str">
        <x:v>primary_keyword</x:v>
      </x:c>
      <x:c r="F58" s="17" t="str">
        <x:v>MISSING_PRIMARY_KEYWORD</x:v>
      </x:c>
      <x:c r="G58" s="17" t="str">
        <x:v>[blank]</x:v>
      </x:c>
      <x:c r="H58" s="17" t="str">
        <x:v>User to provide the intended primary keyword; do not infer it.</x:v>
      </x:c>
      <x:c r="I58" s="17" t="str">
        <x:v>FALSE</x:v>
      </x:c>
      <x:c r="J58" s="17" t="str">
        <x:v>Blocks rank-monitor scope approval only.</x:v>
      </x:c>
    </x:row>
    <x:row r="59">
      <x:c r="A59" s="17" t="str">
        <x:v>ISS-058</x:v>
      </x:c>
      <x:c r="B59" s="17" t="str">
        <x:v>MEDIUM</x:v>
      </x:c>
      <x:c r="C59" s="17" t="str">
        <x:v>LOWES_WB20VPS</x:v>
      </x:c>
      <x:c r="D59" s="17" t="str">
        <x:v>LOWES</x:v>
      </x:c>
      <x:c r="E59" s="17" t="str">
        <x:v>zip_code</x:v>
      </x:c>
      <x:c r="F59" s="17" t="str">
        <x:v>INVALID_ZIP_CODE</x:v>
      </x:c>
      <x:c r="G59" s="17" t="str">
        <x:v>[blank]</x:v>
      </x:c>
      <x:c r="H59" s="17" t="str">
        <x:v>User to provide a five-digit US ZIP if rank monitoring is requested.</x:v>
      </x:c>
      <x:c r="I59" s="17" t="str">
        <x:v>FALSE</x:v>
      </x:c>
      <x:c r="J59" s="17" t="str">
        <x:v>ZIP is required only for applicable location-sensitive rank scope.</x:v>
      </x:c>
    </x:row>
    <x:row r="60">
      <x:c r="A60" s="17" t="str">
        <x:v>ISS-059</x:v>
      </x:c>
      <x:c r="B60" s="17" t="str">
        <x:v>MEDIUM</x:v>
      </x:c>
      <x:c r="C60" s="17" t="str">
        <x:v>LOWES_WB20VTAB</x:v>
      </x:c>
      <x:c r="D60" s="17" t="str">
        <x:v>LOWES</x:v>
      </x:c>
      <x:c r="E60" s="17" t="str">
        <x:v>model</x:v>
      </x:c>
      <x:c r="F60" s="17" t="str">
        <x:v>MISSING_MODEL</x:v>
      </x:c>
      <x:c r="G60" s="17" t="str">
        <x:v>[blank]</x:v>
      </x:c>
      <x:c r="H60" s="17" t="str">
        <x:v>User to confirm product model before Phase 2 selection.</x:v>
      </x:c>
      <x:c r="I60" s="17" t="str">
        <x:v>FALSE</x:v>
      </x:c>
      <x:c r="J60" s="17" t="str">
        <x:v>No model was inferred from product name.</x:v>
      </x:c>
    </x:row>
    <x:row r="61">
      <x:c r="A61" s="17" t="str">
        <x:v>ISS-060</x:v>
      </x:c>
      <x:c r="B61" s="17" t="str">
        <x:v>HIGH</x:v>
      </x:c>
      <x:c r="C61" s="17" t="str">
        <x:v>LOWES_WB20VTAB</x:v>
      </x:c>
      <x:c r="D61" s="17" t="str">
        <x:v>LOWES</x:v>
      </x:c>
      <x:c r="E61" s="17" t="str">
        <x:v>primary_keyword</x:v>
      </x:c>
      <x:c r="F61" s="17" t="str">
        <x:v>MISSING_PRIMARY_KEYWORD</x:v>
      </x:c>
      <x:c r="G61" s="17" t="str">
        <x:v>[blank]</x:v>
      </x:c>
      <x:c r="H61" s="17" t="str">
        <x:v>User to provide the intended primary keyword; do not infer it.</x:v>
      </x:c>
      <x:c r="I61" s="17" t="str">
        <x:v>FALSE</x:v>
      </x:c>
      <x:c r="J61" s="17" t="str">
        <x:v>Blocks rank-monitor scope approval only.</x:v>
      </x:c>
    </x:row>
    <x:row r="62">
      <x:c r="A62" s="17" t="str">
        <x:v>ISS-061</x:v>
      </x:c>
      <x:c r="B62" s="17" t="str">
        <x:v>MEDIUM</x:v>
      </x:c>
      <x:c r="C62" s="17" t="str">
        <x:v>LOWES_WB20VTAB</x:v>
      </x:c>
      <x:c r="D62" s="17" t="str">
        <x:v>LOWES</x:v>
      </x:c>
      <x:c r="E62" s="17" t="str">
        <x:v>zip_code</x:v>
      </x:c>
      <x:c r="F62" s="17" t="str">
        <x:v>INVALID_ZIP_CODE</x:v>
      </x:c>
      <x:c r="G62" s="17" t="str">
        <x:v>[blank]</x:v>
      </x:c>
      <x:c r="H62" s="17" t="str">
        <x:v>User to provide a five-digit US ZIP if rank monitoring is requested.</x:v>
      </x:c>
      <x:c r="I62" s="17" t="str">
        <x:v>FALSE</x:v>
      </x:c>
      <x:c r="J62" s="17" t="str">
        <x:v>ZIP is required only for applicable location-sensitive rank scope.</x:v>
      </x:c>
    </x:row>
    <x:row r="63">
      <x:c r="A63" s="17" t="str">
        <x:v>ISS-062</x:v>
      </x:c>
      <x:c r="B63" s="17" t="str">
        <x:v>MEDIUM</x:v>
      </x:c>
      <x:c r="C63" s="17" t="str">
        <x:v>WALMART_WB20VTAB</x:v>
      </x:c>
      <x:c r="D63" s="17" t="str">
        <x:v>WALMART</x:v>
      </x:c>
      <x:c r="E63" s="17" t="str">
        <x:v>model</x:v>
      </x:c>
      <x:c r="F63" s="17" t="str">
        <x:v>MISSING_MODEL</x:v>
      </x:c>
      <x:c r="G63" s="17" t="str">
        <x:v>[blank]</x:v>
      </x:c>
      <x:c r="H63" s="17" t="str">
        <x:v>User to confirm product model before Phase 2 selection.</x:v>
      </x:c>
      <x:c r="I63" s="17" t="str">
        <x:v>FALSE</x:v>
      </x:c>
      <x:c r="J63" s="17" t="str">
        <x:v>No model was inferred from product name.</x:v>
      </x:c>
    </x:row>
    <x:row r="64">
      <x:c r="A64" s="17" t="str">
        <x:v>ISS-063</x:v>
      </x:c>
      <x:c r="B64" s="17" t="str">
        <x:v>HIGH</x:v>
      </x:c>
      <x:c r="C64" s="17" t="str">
        <x:v>WALMART_WB20VTAB</x:v>
      </x:c>
      <x:c r="D64" s="17" t="str">
        <x:v>WALMART</x:v>
      </x:c>
      <x:c r="E64" s="17" t="str">
        <x:v>primary_keyword</x:v>
      </x:c>
      <x:c r="F64" s="17" t="str">
        <x:v>MISSING_PRIMARY_KEYWORD</x:v>
      </x:c>
      <x:c r="G64" s="17" t="str">
        <x:v>[blank]</x:v>
      </x:c>
      <x:c r="H64" s="17" t="str">
        <x:v>User to provide the intended primary keyword; do not infer it.</x:v>
      </x:c>
      <x:c r="I64" s="17" t="str">
        <x:v>FALSE</x:v>
      </x:c>
      <x:c r="J64" s="17" t="str">
        <x:v>Blocks rank-monitor scope approval only.</x:v>
      </x:c>
    </x:row>
    <x:row r="65">
      <x:c r="A65" s="17" t="str">
        <x:v>ISS-064</x:v>
      </x:c>
      <x:c r="B65" s="17" t="str">
        <x:v>MEDIUM</x:v>
      </x:c>
      <x:c r="C65" s="17" t="str">
        <x:v>WALMART_WB20VTAB</x:v>
      </x:c>
      <x:c r="D65" s="17" t="str">
        <x:v>WALMART</x:v>
      </x:c>
      <x:c r="E65" s="17" t="str">
        <x:v>zip_code</x:v>
      </x:c>
      <x:c r="F65" s="17" t="str">
        <x:v>INVALID_ZIP_CODE</x:v>
      </x:c>
      <x:c r="G65" s="17" t="str">
        <x:v>[blank]</x:v>
      </x:c>
      <x:c r="H65" s="17" t="str">
        <x:v>User to provide a five-digit US ZIP if rank monitoring is requested.</x:v>
      </x:c>
      <x:c r="I65" s="17" t="str">
        <x:v>FALSE</x:v>
      </x:c>
      <x:c r="J65" s="17" t="str">
        <x:v>ZIP is required only for applicable location-sensitive rank scope.</x:v>
      </x:c>
    </x:row>
    <x:row r="66">
      <x:c r="A66" s="17" t="str">
        <x:v>ISS-065</x:v>
      </x:c>
      <x:c r="B66" s="17" t="str">
        <x:v>MEDIUM</x:v>
      </x:c>
      <x:c r="C66" s="17" t="str">
        <x:v>WALMART_WB20V16LM</x:v>
      </x:c>
      <x:c r="D66" s="17" t="str">
        <x:v>WALMART</x:v>
      </x:c>
      <x:c r="E66" s="17" t="str">
        <x:v>model</x:v>
      </x:c>
      <x:c r="F66" s="17" t="str">
        <x:v>MISSING_MODEL</x:v>
      </x:c>
      <x:c r="G66" s="17" t="str">
        <x:v>[blank]</x:v>
      </x:c>
      <x:c r="H66" s="17" t="str">
        <x:v>User to confirm product model before Phase 2 selection.</x:v>
      </x:c>
      <x:c r="I66" s="17" t="str">
        <x:v>FALSE</x:v>
      </x:c>
      <x:c r="J66" s="17" t="str">
        <x:v>No model was inferred from product name.</x:v>
      </x:c>
    </x:row>
    <x:row r="67">
      <x:c r="A67" s="17" t="str">
        <x:v>ISS-066</x:v>
      </x:c>
      <x:c r="B67" s="17" t="str">
        <x:v>HIGH</x:v>
      </x:c>
      <x:c r="C67" s="17" t="str">
        <x:v>WALMART_WB20V16LM</x:v>
      </x:c>
      <x:c r="D67" s="17" t="str">
        <x:v>WALMART</x:v>
      </x:c>
      <x:c r="E67" s="17" t="str">
        <x:v>primary_keyword</x:v>
      </x:c>
      <x:c r="F67" s="17" t="str">
        <x:v>MISSING_PRIMARY_KEYWORD</x:v>
      </x:c>
      <x:c r="G67" s="17" t="str">
        <x:v>[blank]</x:v>
      </x:c>
      <x:c r="H67" s="17" t="str">
        <x:v>User to provide the intended primary keyword; do not infer it.</x:v>
      </x:c>
      <x:c r="I67" s="17" t="str">
        <x:v>FALSE</x:v>
      </x:c>
      <x:c r="J67" s="17" t="str">
        <x:v>Blocks rank-monitor scope approval only.</x:v>
      </x:c>
    </x:row>
    <x:row r="68">
      <x:c r="A68" s="17" t="str">
        <x:v>ISS-067</x:v>
      </x:c>
      <x:c r="B68" s="17" t="str">
        <x:v>MEDIUM</x:v>
      </x:c>
      <x:c r="C68" s="17" t="str">
        <x:v>WALMART_WB20V16LM</x:v>
      </x:c>
      <x:c r="D68" s="17" t="str">
        <x:v>WALMART</x:v>
      </x:c>
      <x:c r="E68" s="17" t="str">
        <x:v>zip_code</x:v>
      </x:c>
      <x:c r="F68" s="17" t="str">
        <x:v>INVALID_ZIP_CODE</x:v>
      </x:c>
      <x:c r="G68" s="17" t="str">
        <x:v>[blank]</x:v>
      </x:c>
      <x:c r="H68" s="17" t="str">
        <x:v>User to provide a five-digit US ZIP if rank monitoring is requested.</x:v>
      </x:c>
      <x:c r="I68" s="17" t="str">
        <x:v>FALSE</x:v>
      </x:c>
      <x:c r="J68" s="17" t="str">
        <x:v>ZIP is required only for applicable location-sensitive rank scope.</x:v>
      </x:c>
    </x:row>
    <x:row r="69">
      <x:c r="A69" s="17" t="str">
        <x:v>ISS-068</x:v>
      </x:c>
      <x:c r="B69" s="17" t="str">
        <x:v>MEDIUM</x:v>
      </x:c>
      <x:c r="C69" s="17" t="str">
        <x:v>WALMART_WB20VCOMBODP</x:v>
      </x:c>
      <x:c r="D69" s="17" t="str">
        <x:v>WALMART</x:v>
      </x:c>
      <x:c r="E69" s="17" t="str">
        <x:v>model</x:v>
      </x:c>
      <x:c r="F69" s="17" t="str">
        <x:v>MISSING_MODEL</x:v>
      </x:c>
      <x:c r="G69" s="17" t="str">
        <x:v>[blank]</x:v>
      </x:c>
      <x:c r="H69" s="17" t="str">
        <x:v>User to confirm product model before Phase 2 selection.</x:v>
      </x:c>
      <x:c r="I69" s="17" t="str">
        <x:v>FALSE</x:v>
      </x:c>
      <x:c r="J69" s="17" t="str">
        <x:v>No model was inferred from product name.</x:v>
      </x:c>
    </x:row>
    <x:row r="70">
      <x:c r="A70" s="17" t="str">
        <x:v>ISS-069</x:v>
      </x:c>
      <x:c r="B70" s="17" t="str">
        <x:v>HIGH</x:v>
      </x:c>
      <x:c r="C70" s="17" t="str">
        <x:v>WALMART_WB20VCOMBODP</x:v>
      </x:c>
      <x:c r="D70" s="17" t="str">
        <x:v>WALMART</x:v>
      </x:c>
      <x:c r="E70" s="17" t="str">
        <x:v>primary_keyword</x:v>
      </x:c>
      <x:c r="F70" s="17" t="str">
        <x:v>MISSING_PRIMARY_KEYWORD</x:v>
      </x:c>
      <x:c r="G70" s="17" t="str">
        <x:v>[blank]</x:v>
      </x:c>
      <x:c r="H70" s="17" t="str">
        <x:v>User to provide the intended primary keyword; do not infer it.</x:v>
      </x:c>
      <x:c r="I70" s="17" t="str">
        <x:v>FALSE</x:v>
      </x:c>
      <x:c r="J70" s="17" t="str">
        <x:v>Blocks rank-monitor scope approval only.</x:v>
      </x:c>
    </x:row>
    <x:row r="71">
      <x:c r="A71" s="17" t="str">
        <x:v>ISS-070</x:v>
      </x:c>
      <x:c r="B71" s="17" t="str">
        <x:v>MEDIUM</x:v>
      </x:c>
      <x:c r="C71" s="17" t="str">
        <x:v>WALMART_WB20VCOMBODP</x:v>
      </x:c>
      <x:c r="D71" s="17" t="str">
        <x:v>WALMART</x:v>
      </x:c>
      <x:c r="E71" s="17" t="str">
        <x:v>zip_code</x:v>
      </x:c>
      <x:c r="F71" s="17" t="str">
        <x:v>INVALID_ZIP_CODE</x:v>
      </x:c>
      <x:c r="G71" s="17" t="str">
        <x:v>[blank]</x:v>
      </x:c>
      <x:c r="H71" s="17" t="str">
        <x:v>User to provide a five-digit US ZIP if rank monitoring is requested.</x:v>
      </x:c>
      <x:c r="I71" s="17" t="str">
        <x:v>FALSE</x:v>
      </x:c>
      <x:c r="J71" s="17" t="str">
        <x:v>ZIP is required only for applicable location-sensitive rank scope.</x:v>
      </x:c>
    </x:row>
    <x:row r="72">
      <x:c r="A72" s="17" t="str">
        <x:v>ISS-071</x:v>
      </x:c>
      <x:c r="B72" s="17" t="str">
        <x:v>MEDIUM</x:v>
      </x:c>
      <x:c r="C72" s="17" t="str">
        <x:v>WALMART_WB40V18PLM</x:v>
      </x:c>
      <x:c r="D72" s="17" t="str">
        <x:v>WALMART</x:v>
      </x:c>
      <x:c r="E72" s="17" t="str">
        <x:v>model</x:v>
      </x:c>
      <x:c r="F72" s="17" t="str">
        <x:v>MISSING_MODEL</x:v>
      </x:c>
      <x:c r="G72" s="17" t="str">
        <x:v>[blank]</x:v>
      </x:c>
      <x:c r="H72" s="17" t="str">
        <x:v>User to confirm product model before Phase 2 selection.</x:v>
      </x:c>
      <x:c r="I72" s="17" t="str">
        <x:v>FALSE</x:v>
      </x:c>
      <x:c r="J72" s="17" t="str">
        <x:v>No model was inferred from product name.</x:v>
      </x:c>
    </x:row>
    <x:row r="73">
      <x:c r="A73" s="17" t="str">
        <x:v>ISS-072</x:v>
      </x:c>
      <x:c r="B73" s="17" t="str">
        <x:v>HIGH</x:v>
      </x:c>
      <x:c r="C73" s="17" t="str">
        <x:v>WALMART_WB40V18PLM</x:v>
      </x:c>
      <x:c r="D73" s="17" t="str">
        <x:v>WALMART</x:v>
      </x:c>
      <x:c r="E73" s="17" t="str">
        <x:v>primary_keyword</x:v>
      </x:c>
      <x:c r="F73" s="17" t="str">
        <x:v>MISSING_PRIMARY_KEYWORD</x:v>
      </x:c>
      <x:c r="G73" s="17" t="str">
        <x:v>[blank]</x:v>
      </x:c>
      <x:c r="H73" s="17" t="str">
        <x:v>User to provide the intended primary keyword; do not infer it.</x:v>
      </x:c>
      <x:c r="I73" s="17" t="str">
        <x:v>FALSE</x:v>
      </x:c>
      <x:c r="J73" s="17" t="str">
        <x:v>Blocks rank-monitor scope approval only.</x:v>
      </x:c>
    </x:row>
    <x:row r="74">
      <x:c r="A74" s="17" t="str">
        <x:v>ISS-073</x:v>
      </x:c>
      <x:c r="B74" s="17" t="str">
        <x:v>MEDIUM</x:v>
      </x:c>
      <x:c r="C74" s="17" t="str">
        <x:v>WALMART_WB40V18PLM</x:v>
      </x:c>
      <x:c r="D74" s="17" t="str">
        <x:v>WALMART</x:v>
      </x:c>
      <x:c r="E74" s="17" t="str">
        <x:v>zip_code</x:v>
      </x:c>
      <x:c r="F74" s="17" t="str">
        <x:v>INVALID_ZIP_CODE</x:v>
      </x:c>
      <x:c r="G74" s="17" t="str">
        <x:v>[blank]</x:v>
      </x:c>
      <x:c r="H74" s="17" t="str">
        <x:v>User to provide a five-digit US ZIP if rank monitoring is requested.</x:v>
      </x:c>
      <x:c r="I74" s="17" t="str">
        <x:v>FALSE</x:v>
      </x:c>
      <x:c r="J74" s="17" t="str">
        <x:v>ZIP is required only for applicable location-sensitive rank scope.</x:v>
      </x:c>
    </x:row>
    <x:row r="75">
      <x:c r="A75" s="17" t="str">
        <x:v>ISS-074</x:v>
      </x:c>
      <x:c r="B75" s="17" t="str">
        <x:v>MEDIUM</x:v>
      </x:c>
      <x:c r="C75" s="17" t="str">
        <x:v>WALMART_WB40V14PLM</x:v>
      </x:c>
      <x:c r="D75" s="17" t="str">
        <x:v>WALMART</x:v>
      </x:c>
      <x:c r="E75" s="17" t="str">
        <x:v>model</x:v>
      </x:c>
      <x:c r="F75" s="17" t="str">
        <x:v>MISSING_MODEL</x:v>
      </x:c>
      <x:c r="G75" s="17" t="str">
        <x:v>[blank]</x:v>
      </x:c>
      <x:c r="H75" s="17" t="str">
        <x:v>User to confirm product model before Phase 2 selection.</x:v>
      </x:c>
      <x:c r="I75" s="17" t="str">
        <x:v>FALSE</x:v>
      </x:c>
      <x:c r="J75" s="17" t="str">
        <x:v>No model was inferred from product name.</x:v>
      </x:c>
    </x:row>
    <x:row r="76">
      <x:c r="A76" s="17" t="str">
        <x:v>ISS-075</x:v>
      </x:c>
      <x:c r="B76" s="17" t="str">
        <x:v>HIGH</x:v>
      </x:c>
      <x:c r="C76" s="17" t="str">
        <x:v>WALMART_WB40V14PLM</x:v>
      </x:c>
      <x:c r="D76" s="17" t="str">
        <x:v>WALMART</x:v>
      </x:c>
      <x:c r="E76" s="17" t="str">
        <x:v>primary_keyword</x:v>
      </x:c>
      <x:c r="F76" s="17" t="str">
        <x:v>MISSING_PRIMARY_KEYWORD</x:v>
      </x:c>
      <x:c r="G76" s="17" t="str">
        <x:v>[blank]</x:v>
      </x:c>
      <x:c r="H76" s="17" t="str">
        <x:v>User to provide the intended primary keyword; do not infer it.</x:v>
      </x:c>
      <x:c r="I76" s="17" t="str">
        <x:v>FALSE</x:v>
      </x:c>
      <x:c r="J76" s="17" t="str">
        <x:v>Blocks rank-monitor scope approval only.</x:v>
      </x:c>
    </x:row>
    <x:row r="77">
      <x:c r="A77" s="17" t="str">
        <x:v>ISS-076</x:v>
      </x:c>
      <x:c r="B77" s="17" t="str">
        <x:v>MEDIUM</x:v>
      </x:c>
      <x:c r="C77" s="17" t="str">
        <x:v>WALMART_WB40V14PLM</x:v>
      </x:c>
      <x:c r="D77" s="17" t="str">
        <x:v>WALMART</x:v>
      </x:c>
      <x:c r="E77" s="17" t="str">
        <x:v>zip_code</x:v>
      </x:c>
      <x:c r="F77" s="17" t="str">
        <x:v>INVALID_ZIP_CODE</x:v>
      </x:c>
      <x:c r="G77" s="17" t="str">
        <x:v>[blank]</x:v>
      </x:c>
      <x:c r="H77" s="17" t="str">
        <x:v>User to provide a five-digit US ZIP if rank monitoring is requested.</x:v>
      </x:c>
      <x:c r="I77" s="17" t="str">
        <x:v>FALSE</x:v>
      </x:c>
      <x:c r="J77" s="17" t="str">
        <x:v>ZIP is required only for applicable location-sensitive rank scope.</x:v>
      </x:c>
    </x:row>
    <x:row r="78">
      <x:c r="A78" s="17" t="str">
        <x:v>ISS-077</x:v>
      </x:c>
      <x:c r="B78" s="17" t="str">
        <x:v>MEDIUM</x:v>
      </x:c>
      <x:c r="C78" s="17" t="str">
        <x:v>WALMART_WB53CULT</x:v>
      </x:c>
      <x:c r="D78" s="17" t="str">
        <x:v>WALMART</x:v>
      </x:c>
      <x:c r="E78" s="17" t="str">
        <x:v>model</x:v>
      </x:c>
      <x:c r="F78" s="17" t="str">
        <x:v>MISSING_MODEL</x:v>
      </x:c>
      <x:c r="G78" s="17" t="str">
        <x:v>[blank]</x:v>
      </x:c>
      <x:c r="H78" s="17" t="str">
        <x:v>User to confirm product model before Phase 2 selection.</x:v>
      </x:c>
      <x:c r="I78" s="17" t="str">
        <x:v>FALSE</x:v>
      </x:c>
      <x:c r="J78" s="17" t="str">
        <x:v>No model was inferred from product name.</x:v>
      </x:c>
    </x:row>
    <x:row r="79">
      <x:c r="A79" s="17" t="str">
        <x:v>ISS-078</x:v>
      </x:c>
      <x:c r="B79" s="17" t="str">
        <x:v>HIGH</x:v>
      </x:c>
      <x:c r="C79" s="17" t="str">
        <x:v>WALMART_WB53CULT</x:v>
      </x:c>
      <x:c r="D79" s="17" t="str">
        <x:v>WALMART</x:v>
      </x:c>
      <x:c r="E79" s="17" t="str">
        <x:v>primary_keyword</x:v>
      </x:c>
      <x:c r="F79" s="17" t="str">
        <x:v>MISSING_PRIMARY_KEYWORD</x:v>
      </x:c>
      <x:c r="G79" s="17" t="str">
        <x:v>[blank]</x:v>
      </x:c>
      <x:c r="H79" s="17" t="str">
        <x:v>User to provide the intended primary keyword; do not infer it.</x:v>
      </x:c>
      <x:c r="I79" s="17" t="str">
        <x:v>FALSE</x:v>
      </x:c>
      <x:c r="J79" s="17" t="str">
        <x:v>Blocks rank-monitor scope approval only.</x:v>
      </x:c>
    </x:row>
    <x:row r="80">
      <x:c r="A80" s="17" t="str">
        <x:v>ISS-079</x:v>
      </x:c>
      <x:c r="B80" s="17" t="str">
        <x:v>MEDIUM</x:v>
      </x:c>
      <x:c r="C80" s="17" t="str">
        <x:v>WALMART_WB53CULT</x:v>
      </x:c>
      <x:c r="D80" s="17" t="str">
        <x:v>WALMART</x:v>
      </x:c>
      <x:c r="E80" s="17" t="str">
        <x:v>zip_code</x:v>
      </x:c>
      <x:c r="F80" s="17" t="str">
        <x:v>INVALID_ZIP_CODE</x:v>
      </x:c>
      <x:c r="G80" s="17" t="str">
        <x:v>[blank]</x:v>
      </x:c>
      <x:c r="H80" s="17" t="str">
        <x:v>User to provide a five-digit US ZIP if rank monitoring is requested.</x:v>
      </x:c>
      <x:c r="I80" s="17" t="str">
        <x:v>FALSE</x:v>
      </x:c>
      <x:c r="J80" s="17" t="str">
        <x:v>ZIP is required only for applicable location-sensitive rank scope.</x:v>
      </x:c>
    </x:row>
    <x:row r="81">
      <x:c r="A81" s="17" t="str">
        <x:v>ISS-080</x:v>
      </x:c>
      <x:c r="B81" s="17" t="str">
        <x:v>MEDIUM</x:v>
      </x:c>
      <x:c r="C81" s="17" t="str">
        <x:v>WALMART_WB40VCOMBO</x:v>
      </x:c>
      <x:c r="D81" s="17" t="str">
        <x:v>WALMART</x:v>
      </x:c>
      <x:c r="E81" s="17" t="str">
        <x:v>model</x:v>
      </x:c>
      <x:c r="F81" s="17" t="str">
        <x:v>MISSING_MODEL</x:v>
      </x:c>
      <x:c r="G81" s="17" t="str">
        <x:v>[blank]</x:v>
      </x:c>
      <x:c r="H81" s="17" t="str">
        <x:v>User to confirm product model before Phase 2 selection.</x:v>
      </x:c>
      <x:c r="I81" s="17" t="str">
        <x:v>FALSE</x:v>
      </x:c>
      <x:c r="J81" s="17" t="str">
        <x:v>No model was inferred from product name.</x:v>
      </x:c>
    </x:row>
    <x:row r="82">
      <x:c r="A82" s="17" t="str">
        <x:v>ISS-081</x:v>
      </x:c>
      <x:c r="B82" s="17" t="str">
        <x:v>HIGH</x:v>
      </x:c>
      <x:c r="C82" s="17" t="str">
        <x:v>WALMART_WB40VCOMBO</x:v>
      </x:c>
      <x:c r="D82" s="17" t="str">
        <x:v>WALMART</x:v>
      </x:c>
      <x:c r="E82" s="17" t="str">
        <x:v>primary_keyword</x:v>
      </x:c>
      <x:c r="F82" s="17" t="str">
        <x:v>MISSING_PRIMARY_KEYWORD</x:v>
      </x:c>
      <x:c r="G82" s="17" t="str">
        <x:v>[blank]</x:v>
      </x:c>
      <x:c r="H82" s="17" t="str">
        <x:v>User to provide the intended primary keyword; do not infer it.</x:v>
      </x:c>
      <x:c r="I82" s="17" t="str">
        <x:v>FALSE</x:v>
      </x:c>
      <x:c r="J82" s="17" t="str">
        <x:v>Blocks rank-monitor scope approval only.</x:v>
      </x:c>
    </x:row>
    <x:row r="83">
      <x:c r="A83" s="17" t="str">
        <x:v>ISS-082</x:v>
      </x:c>
      <x:c r="B83" s="17" t="str">
        <x:v>MEDIUM</x:v>
      </x:c>
      <x:c r="C83" s="17" t="str">
        <x:v>WALMART_WB40VCOMBO</x:v>
      </x:c>
      <x:c r="D83" s="17" t="str">
        <x:v>WALMART</x:v>
      </x:c>
      <x:c r="E83" s="17" t="str">
        <x:v>zip_code</x:v>
      </x:c>
      <x:c r="F83" s="17" t="str">
        <x:v>INVALID_ZIP_CODE</x:v>
      </x:c>
      <x:c r="G83" s="17" t="str">
        <x:v>[blank]</x:v>
      </x:c>
      <x:c r="H83" s="17" t="str">
        <x:v>User to provide a five-digit US ZIP if rank monitoring is requested.</x:v>
      </x:c>
      <x:c r="I83" s="17" t="str">
        <x:v>FALSE</x:v>
      </x:c>
      <x:c r="J83" s="17" t="str">
        <x:v>ZIP is required only for applicable location-sensitive rank scope.</x:v>
      </x:c>
    </x:row>
    <x:row r="84">
      <x:c r="A84" s="17" t="str">
        <x:v>ISS-083</x:v>
      </x:c>
      <x:c r="B84" s="17" t="str">
        <x:v>MEDIUM</x:v>
      </x:c>
      <x:c r="C84" s="17" t="str">
        <x:v>WALMART_WBPMT26P</x:v>
      </x:c>
      <x:c r="D84" s="17" t="str">
        <x:v>WALMART</x:v>
      </x:c>
      <x:c r="E84" s="17" t="str">
        <x:v>model</x:v>
      </x:c>
      <x:c r="F84" s="17" t="str">
        <x:v>MISSING_MODEL</x:v>
      </x:c>
      <x:c r="G84" s="17" t="str">
        <x:v>[blank]</x:v>
      </x:c>
      <x:c r="H84" s="17" t="str">
        <x:v>User to confirm product model before Phase 2 selection.</x:v>
      </x:c>
      <x:c r="I84" s="17" t="str">
        <x:v>FALSE</x:v>
      </x:c>
      <x:c r="J84" s="17" t="str">
        <x:v>No model was inferred from product name.</x:v>
      </x:c>
    </x:row>
    <x:row r="85">
      <x:c r="A85" s="17" t="str">
        <x:v>ISS-084</x:v>
      </x:c>
      <x:c r="B85" s="17" t="str">
        <x:v>HIGH</x:v>
      </x:c>
      <x:c r="C85" s="17" t="str">
        <x:v>WALMART_WBPMT26P</x:v>
      </x:c>
      <x:c r="D85" s="17" t="str">
        <x:v>WALMART</x:v>
      </x:c>
      <x:c r="E85" s="17" t="str">
        <x:v>primary_keyword</x:v>
      </x:c>
      <x:c r="F85" s="17" t="str">
        <x:v>MISSING_PRIMARY_KEYWORD</x:v>
      </x:c>
      <x:c r="G85" s="17" t="str">
        <x:v>[blank]</x:v>
      </x:c>
      <x:c r="H85" s="17" t="str">
        <x:v>User to provide the intended primary keyword; do not infer it.</x:v>
      </x:c>
      <x:c r="I85" s="17" t="str">
        <x:v>FALSE</x:v>
      </x:c>
      <x:c r="J85" s="17" t="str">
        <x:v>Blocks rank-monitor scope approval only.</x:v>
      </x:c>
    </x:row>
    <x:row r="86">
      <x:c r="A86" s="17" t="str">
        <x:v>ISS-085</x:v>
      </x:c>
      <x:c r="B86" s="17" t="str">
        <x:v>MEDIUM</x:v>
      </x:c>
      <x:c r="C86" s="17" t="str">
        <x:v>WALMART_WBPMT26P</x:v>
      </x:c>
      <x:c r="D86" s="17" t="str">
        <x:v>WALMART</x:v>
      </x:c>
      <x:c r="E86" s="17" t="str">
        <x:v>zip_code</x:v>
      </x:c>
      <x:c r="F86" s="17" t="str">
        <x:v>INVALID_ZIP_CODE</x:v>
      </x:c>
      <x:c r="G86" s="17" t="str">
        <x:v>[blank]</x:v>
      </x:c>
      <x:c r="H86" s="17" t="str">
        <x:v>User to provide a five-digit US ZIP if rank monitoring is requested.</x:v>
      </x:c>
      <x:c r="I86" s="17" t="str">
        <x:v>FALSE</x:v>
      </x:c>
      <x:c r="J86" s="17" t="str">
        <x:v>ZIP is required only for applicable location-sensitive rank scope.</x:v>
      </x:c>
    </x:row>
    <x:row r="87">
      <x:c r="A87" s="17" t="str">
        <x:v>ISS-086</x:v>
      </x:c>
      <x:c r="B87" s="17" t="str">
        <x:v>MEDIUM</x:v>
      </x:c>
      <x:c r="C87" s="17" t="str">
        <x:v>WALMART_WB26MTSE</x:v>
      </x:c>
      <x:c r="D87" s="17" t="str">
        <x:v>WALMART</x:v>
      </x:c>
      <x:c r="E87" s="17" t="str">
        <x:v>model</x:v>
      </x:c>
      <x:c r="F87" s="17" t="str">
        <x:v>MISSING_MODEL</x:v>
      </x:c>
      <x:c r="G87" s="17" t="str">
        <x:v>[blank]</x:v>
      </x:c>
      <x:c r="H87" s="17" t="str">
        <x:v>User to confirm product model before Phase 2 selection.</x:v>
      </x:c>
      <x:c r="I87" s="17" t="str">
        <x:v>FALSE</x:v>
      </x:c>
      <x:c r="J87" s="17" t="str">
        <x:v>No model was inferred from product name.</x:v>
      </x:c>
    </x:row>
    <x:row r="88">
      <x:c r="A88" s="17" t="str">
        <x:v>ISS-087</x:v>
      </x:c>
      <x:c r="B88" s="17" t="str">
        <x:v>HIGH</x:v>
      </x:c>
      <x:c r="C88" s="17" t="str">
        <x:v>WALMART_WB26MTSE</x:v>
      </x:c>
      <x:c r="D88" s="17" t="str">
        <x:v>WALMART</x:v>
      </x:c>
      <x:c r="E88" s="17" t="str">
        <x:v>primary_keyword</x:v>
      </x:c>
      <x:c r="F88" s="17" t="str">
        <x:v>MISSING_PRIMARY_KEYWORD</x:v>
      </x:c>
      <x:c r="G88" s="17" t="str">
        <x:v>[blank]</x:v>
      </x:c>
      <x:c r="H88" s="17" t="str">
        <x:v>User to provide the intended primary keyword; do not infer it.</x:v>
      </x:c>
      <x:c r="I88" s="17" t="str">
        <x:v>FALSE</x:v>
      </x:c>
      <x:c r="J88" s="17" t="str">
        <x:v>Blocks rank-monitor scope approval only.</x:v>
      </x:c>
    </x:row>
    <x:row r="89">
      <x:c r="A89" s="17" t="str">
        <x:v>ISS-088</x:v>
      </x:c>
      <x:c r="B89" s="17" t="str">
        <x:v>MEDIUM</x:v>
      </x:c>
      <x:c r="C89" s="17" t="str">
        <x:v>WALMART_WB26MTSE</x:v>
      </x:c>
      <x:c r="D89" s="17" t="str">
        <x:v>WALMART</x:v>
      </x:c>
      <x:c r="E89" s="17" t="str">
        <x:v>zip_code</x:v>
      </x:c>
      <x:c r="F89" s="17" t="str">
        <x:v>INVALID_ZIP_CODE</x:v>
      </x:c>
      <x:c r="G89" s="17" t="str">
        <x:v>[blank]</x:v>
      </x:c>
      <x:c r="H89" s="17" t="str">
        <x:v>User to provide a five-digit US ZIP if rank monitoring is requested.</x:v>
      </x:c>
      <x:c r="I89" s="17" t="str">
        <x:v>FALSE</x:v>
      </x:c>
      <x:c r="J89" s="17" t="str">
        <x:v>ZIP is required only for applicable location-sensitive rank scope.</x:v>
      </x:c>
    </x:row>
    <x:row r="90">
      <x:c r="A90" s="17" t="str">
        <x:v>ISS-089</x:v>
      </x:c>
      <x:c r="B90" s="17" t="str">
        <x:v>MEDIUM</x:v>
      </x:c>
      <x:c r="C90" s="17" t="str">
        <x:v>WALMART_WB40VTBCC</x:v>
      </x:c>
      <x:c r="D90" s="17" t="str">
        <x:v>WALMART</x:v>
      </x:c>
      <x:c r="E90" s="17" t="str">
        <x:v>model</x:v>
      </x:c>
      <x:c r="F90" s="17" t="str">
        <x:v>MISSING_MODEL</x:v>
      </x:c>
      <x:c r="G90" s="17" t="str">
        <x:v>[blank]</x:v>
      </x:c>
      <x:c r="H90" s="17" t="str">
        <x:v>User to confirm product model before Phase 2 selection.</x:v>
      </x:c>
      <x:c r="I90" s="17" t="str">
        <x:v>FALSE</x:v>
      </x:c>
      <x:c r="J90" s="17" t="str">
        <x:v>No model was inferred from product name.</x:v>
      </x:c>
    </x:row>
    <x:row r="91">
      <x:c r="A91" s="17" t="str">
        <x:v>ISS-090</x:v>
      </x:c>
      <x:c r="B91" s="17" t="str">
        <x:v>HIGH</x:v>
      </x:c>
      <x:c r="C91" s="17" t="str">
        <x:v>WALMART_WB40VTBCC</x:v>
      </x:c>
      <x:c r="D91" s="17" t="str">
        <x:v>WALMART</x:v>
      </x:c>
      <x:c r="E91" s="17" t="str">
        <x:v>primary_keyword</x:v>
      </x:c>
      <x:c r="F91" s="17" t="str">
        <x:v>MISSING_PRIMARY_KEYWORD</x:v>
      </x:c>
      <x:c r="G91" s="17" t="str">
        <x:v>[blank]</x:v>
      </x:c>
      <x:c r="H91" s="17" t="str">
        <x:v>User to provide the intended primary keyword; do not infer it.</x:v>
      </x:c>
      <x:c r="I91" s="17" t="str">
        <x:v>FALSE</x:v>
      </x:c>
      <x:c r="J91" s="17" t="str">
        <x:v>Blocks rank-monitor scope approval only.</x:v>
      </x:c>
    </x:row>
    <x:row r="92">
      <x:c r="A92" s="17" t="str">
        <x:v>ISS-091</x:v>
      </x:c>
      <x:c r="B92" s="17" t="str">
        <x:v>MEDIUM</x:v>
      </x:c>
      <x:c r="C92" s="17" t="str">
        <x:v>WALMART_WB40VTBCC</x:v>
      </x:c>
      <x:c r="D92" s="17" t="str">
        <x:v>WALMART</x:v>
      </x:c>
      <x:c r="E92" s="17" t="str">
        <x:v>zip_code</x:v>
      </x:c>
      <x:c r="F92" s="17" t="str">
        <x:v>INVALID_ZIP_CODE</x:v>
      </x:c>
      <x:c r="G92" s="17" t="str">
        <x:v>[blank]</x:v>
      </x:c>
      <x:c r="H92" s="17" t="str">
        <x:v>User to provide a five-digit US ZIP if rank monitoring is requested.</x:v>
      </x:c>
      <x:c r="I92" s="17" t="str">
        <x:v>FALSE</x:v>
      </x:c>
      <x:c r="J92" s="17" t="str">
        <x:v>ZIP is required only for applicable location-sensitive rank scope.</x:v>
      </x:c>
    </x:row>
    <x:row r="93">
      <x:c r="A93" s="17" t="str">
        <x:v>ISS-092</x:v>
      </x:c>
      <x:c r="B93" s="17" t="str">
        <x:v>MEDIUM</x:v>
      </x:c>
      <x:c r="C93" s="17" t="str">
        <x:v>WALMART_SKRMX5</x:v>
      </x:c>
      <x:c r="D93" s="17" t="str">
        <x:v>WALMART</x:v>
      </x:c>
      <x:c r="E93" s="17" t="str">
        <x:v>model</x:v>
      </x:c>
      <x:c r="F93" s="17" t="str">
        <x:v>MISSING_MODEL</x:v>
      </x:c>
      <x:c r="G93" s="17" t="str">
        <x:v>[blank]</x:v>
      </x:c>
      <x:c r="H93" s="17" t="str">
        <x:v>User to confirm product model before Phase 2 selection.</x:v>
      </x:c>
      <x:c r="I93" s="17" t="str">
        <x:v>FALSE</x:v>
      </x:c>
      <x:c r="J93" s="17" t="str">
        <x:v>No model was inferred from product name.</x:v>
      </x:c>
    </x:row>
    <x:row r="94">
      <x:c r="A94" s="17" t="str">
        <x:v>ISS-093</x:v>
      </x:c>
      <x:c r="B94" s="17" t="str">
        <x:v>HIGH</x:v>
      </x:c>
      <x:c r="C94" s="17" t="str">
        <x:v>WALMART_SKRMX5</x:v>
      </x:c>
      <x:c r="D94" s="17" t="str">
        <x:v>WALMART</x:v>
      </x:c>
      <x:c r="E94" s="17" t="str">
        <x:v>primary_keyword</x:v>
      </x:c>
      <x:c r="F94" s="17" t="str">
        <x:v>MISSING_PRIMARY_KEYWORD</x:v>
      </x:c>
      <x:c r="G94" s="17" t="str">
        <x:v>[blank]</x:v>
      </x:c>
      <x:c r="H94" s="17" t="str">
        <x:v>User to provide the intended primary keyword; do not infer it.</x:v>
      </x:c>
      <x:c r="I94" s="17" t="str">
        <x:v>FALSE</x:v>
      </x:c>
      <x:c r="J94" s="17" t="str">
        <x:v>Blocks rank-monitor scope approval only.</x:v>
      </x:c>
    </x:row>
    <x:row r="95">
      <x:c r="A95" s="17" t="str">
        <x:v>ISS-094</x:v>
      </x:c>
      <x:c r="B95" s="17" t="str">
        <x:v>MEDIUM</x:v>
      </x:c>
      <x:c r="C95" s="17" t="str">
        <x:v>WALMART_SKRMX5</x:v>
      </x:c>
      <x:c r="D95" s="17" t="str">
        <x:v>WALMART</x:v>
      </x:c>
      <x:c r="E95" s="17" t="str">
        <x:v>zip_code</x:v>
      </x:c>
      <x:c r="F95" s="17" t="str">
        <x:v>INVALID_ZIP_CODE</x:v>
      </x:c>
      <x:c r="G95" s="17" t="str">
        <x:v>[blank]</x:v>
      </x:c>
      <x:c r="H95" s="17" t="str">
        <x:v>User to provide a five-digit US ZIP if rank monitoring is requested.</x:v>
      </x:c>
      <x:c r="I95" s="17" t="str">
        <x:v>FALSE</x:v>
      </x:c>
      <x:c r="J95" s="17" t="str">
        <x:v>ZIP is required only for applicable location-sensitive rank scope.</x:v>
      </x:c>
    </x:row>
    <x:row r="96">
      <x:c r="A96" s="17" t="str">
        <x:v>ISS-095</x:v>
      </x:c>
      <x:c r="B96" s="17" t="str">
        <x:v>MEDIUM</x:v>
      </x:c>
      <x:c r="C96" s="17" t="str">
        <x:v>WALMART_SKRMX3PLUS</x:v>
      </x:c>
      <x:c r="D96" s="17" t="str">
        <x:v>WALMART</x:v>
      </x:c>
      <x:c r="E96" s="17" t="str">
        <x:v>model</x:v>
      </x:c>
      <x:c r="F96" s="17" t="str">
        <x:v>MISSING_MODEL</x:v>
      </x:c>
      <x:c r="G96" s="17" t="str">
        <x:v>[blank]</x:v>
      </x:c>
      <x:c r="H96" s="17" t="str">
        <x:v>User to confirm product model before Phase 2 selection.</x:v>
      </x:c>
      <x:c r="I96" s="17" t="str">
        <x:v>FALSE</x:v>
      </x:c>
      <x:c r="J96" s="17" t="str">
        <x:v>No model was inferred from product name.</x:v>
      </x:c>
    </x:row>
    <x:row r="97">
      <x:c r="A97" s="17" t="str">
        <x:v>ISS-096</x:v>
      </x:c>
      <x:c r="B97" s="17" t="str">
        <x:v>HIGH</x:v>
      </x:c>
      <x:c r="C97" s="17" t="str">
        <x:v>WALMART_SKRMX3PLUS</x:v>
      </x:c>
      <x:c r="D97" s="17" t="str">
        <x:v>WALMART</x:v>
      </x:c>
      <x:c r="E97" s="17" t="str">
        <x:v>primary_keyword</x:v>
      </x:c>
      <x:c r="F97" s="17" t="str">
        <x:v>MISSING_PRIMARY_KEYWORD</x:v>
      </x:c>
      <x:c r="G97" s="17" t="str">
        <x:v>[blank]</x:v>
      </x:c>
      <x:c r="H97" s="17" t="str">
        <x:v>User to provide the intended primary keyword; do not infer it.</x:v>
      </x:c>
      <x:c r="I97" s="17" t="str">
        <x:v>FALSE</x:v>
      </x:c>
      <x:c r="J97" s="17" t="str">
        <x:v>Blocks rank-monitor scope approval only.</x:v>
      </x:c>
    </x:row>
    <x:row r="98">
      <x:c r="A98" s="17" t="str">
        <x:v>ISS-097</x:v>
      </x:c>
      <x:c r="B98" s="17" t="str">
        <x:v>MEDIUM</x:v>
      </x:c>
      <x:c r="C98" s="17" t="str">
        <x:v>WALMART_SKRMX3PLUS</x:v>
      </x:c>
      <x:c r="D98" s="17" t="str">
        <x:v>WALMART</x:v>
      </x:c>
      <x:c r="E98" s="17" t="str">
        <x:v>zip_code</x:v>
      </x:c>
      <x:c r="F98" s="17" t="str">
        <x:v>INVALID_ZIP_CODE</x:v>
      </x:c>
      <x:c r="G98" s="17" t="str">
        <x:v>[blank]</x:v>
      </x:c>
      <x:c r="H98" s="17" t="str">
        <x:v>User to provide a five-digit US ZIP if rank monitoring is requested.</x:v>
      </x:c>
      <x:c r="I98" s="17" t="str">
        <x:v>FALSE</x:v>
      </x:c>
      <x:c r="J98" s="17" t="str">
        <x:v>ZIP is required only for applicable location-sensitive rank scope.</x:v>
      </x:c>
    </x:row>
    <x:row r="99">
      <x:c r="A99" s="17" t="str">
        <x:v>ISS-098</x:v>
      </x:c>
      <x:c r="B99" s="17" t="str">
        <x:v>MEDIUM</x:v>
      </x:c>
      <x:c r="C99" s="17" t="str">
        <x:v>WALMART_ORIONX7</x:v>
      </x:c>
      <x:c r="D99" s="17" t="str">
        <x:v>WALMART</x:v>
      </x:c>
      <x:c r="E99" s="17" t="str">
        <x:v>model</x:v>
      </x:c>
      <x:c r="F99" s="17" t="str">
        <x:v>MISSING_MODEL</x:v>
      </x:c>
      <x:c r="G99" s="17" t="str">
        <x:v>[blank]</x:v>
      </x:c>
      <x:c r="H99" s="17" t="str">
        <x:v>User to confirm product model before Phase 2 selection.</x:v>
      </x:c>
      <x:c r="I99" s="17" t="str">
        <x:v>FALSE</x:v>
      </x:c>
      <x:c r="J99" s="17" t="str">
        <x:v>No model was inferred from product name.</x:v>
      </x:c>
    </x:row>
    <x:row r="100">
      <x:c r="A100" s="17" t="str">
        <x:v>ISS-099</x:v>
      </x:c>
      <x:c r="B100" s="17" t="str">
        <x:v>HIGH</x:v>
      </x:c>
      <x:c r="C100" s="17" t="str">
        <x:v>WALMART_ORIONX7</x:v>
      </x:c>
      <x:c r="D100" s="17" t="str">
        <x:v>WALMART</x:v>
      </x:c>
      <x:c r="E100" s="17" t="str">
        <x:v>primary_keyword</x:v>
      </x:c>
      <x:c r="F100" s="17" t="str">
        <x:v>MISSING_PRIMARY_KEYWORD</x:v>
      </x:c>
      <x:c r="G100" s="17" t="str">
        <x:v>[blank]</x:v>
      </x:c>
      <x:c r="H100" s="17" t="str">
        <x:v>User to provide the intended primary keyword; do not infer it.</x:v>
      </x:c>
      <x:c r="I100" s="17" t="str">
        <x:v>FALSE</x:v>
      </x:c>
      <x:c r="J100" s="17" t="str">
        <x:v>Blocks rank-monitor scope approval only.</x:v>
      </x:c>
    </x:row>
    <x:row r="101">
      <x:c r="A101" s="17" t="str">
        <x:v>ISS-100</x:v>
      </x:c>
      <x:c r="B101" s="17" t="str">
        <x:v>MEDIUM</x:v>
      </x:c>
      <x:c r="C101" s="17" t="str">
        <x:v>WALMART_ORIONX7</x:v>
      </x:c>
      <x:c r="D101" s="17" t="str">
        <x:v>WALMART</x:v>
      </x:c>
      <x:c r="E101" s="17" t="str">
        <x:v>zip_code</x:v>
      </x:c>
      <x:c r="F101" s="17" t="str">
        <x:v>INVALID_ZIP_CODE</x:v>
      </x:c>
      <x:c r="G101" s="17" t="str">
        <x:v>[blank]</x:v>
      </x:c>
      <x:c r="H101" s="17" t="str">
        <x:v>User to provide a five-digit US ZIP if rank monitoring is requested.</x:v>
      </x:c>
      <x:c r="I101" s="17" t="str">
        <x:v>FALSE</x:v>
      </x:c>
      <x:c r="J101" s="17" t="str">
        <x:v>ZIP is required only for applicable location-sensitive rank scope.</x:v>
      </x:c>
    </x:row>
    <x:row r="102">
      <x:c r="A102" s="17" t="str">
        <x:v>ISS-101</x:v>
      </x:c>
      <x:c r="B102" s="17" t="str">
        <x:v>MEDIUM</x:v>
      </x:c>
      <x:c r="C102" s="17" t="str">
        <x:v>WALMART_SKRMS4</x:v>
      </x:c>
      <x:c r="D102" s="17" t="str">
        <x:v>WALMART</x:v>
      </x:c>
      <x:c r="E102" s="17" t="str">
        <x:v>model</x:v>
      </x:c>
      <x:c r="F102" s="17" t="str">
        <x:v>MISSING_MODEL</x:v>
      </x:c>
      <x:c r="G102" s="17" t="str">
        <x:v>[blank]</x:v>
      </x:c>
      <x:c r="H102" s="17" t="str">
        <x:v>User to confirm product model before Phase 2 selection.</x:v>
      </x:c>
      <x:c r="I102" s="17" t="str">
        <x:v>FALSE</x:v>
      </x:c>
      <x:c r="J102" s="17" t="str">
        <x:v>No model was inferred from product name.</x:v>
      </x:c>
    </x:row>
    <x:row r="103">
      <x:c r="A103" s="17" t="str">
        <x:v>ISS-102</x:v>
      </x:c>
      <x:c r="B103" s="17" t="str">
        <x:v>HIGH</x:v>
      </x:c>
      <x:c r="C103" s="17" t="str">
        <x:v>WALMART_SKRMS4</x:v>
      </x:c>
      <x:c r="D103" s="17" t="str">
        <x:v>WALMART</x:v>
      </x:c>
      <x:c r="E103" s="17" t="str">
        <x:v>primary_keyword</x:v>
      </x:c>
      <x:c r="F103" s="17" t="str">
        <x:v>MISSING_PRIMARY_KEYWORD</x:v>
      </x:c>
      <x:c r="G103" s="17" t="str">
        <x:v>[blank]</x:v>
      </x:c>
      <x:c r="H103" s="17" t="str">
        <x:v>User to provide the intended primary keyword; do not infer it.</x:v>
      </x:c>
      <x:c r="I103" s="17" t="str">
        <x:v>FALSE</x:v>
      </x:c>
      <x:c r="J103" s="17" t="str">
        <x:v>Blocks rank-monitor scope approval only.</x:v>
      </x:c>
    </x:row>
    <x:row r="104">
      <x:c r="A104" s="17" t="str">
        <x:v>ISS-103</x:v>
      </x:c>
      <x:c r="B104" s="17" t="str">
        <x:v>MEDIUM</x:v>
      </x:c>
      <x:c r="C104" s="17" t="str">
        <x:v>WALMART_SKRMS4</x:v>
      </x:c>
      <x:c r="D104" s="17" t="str">
        <x:v>WALMART</x:v>
      </x:c>
      <x:c r="E104" s="17" t="str">
        <x:v>zip_code</x:v>
      </x:c>
      <x:c r="F104" s="17" t="str">
        <x:v>INVALID_ZIP_CODE</x:v>
      </x:c>
      <x:c r="G104" s="17" t="str">
        <x:v>[blank]</x:v>
      </x:c>
      <x:c r="H104" s="17" t="str">
        <x:v>User to provide a five-digit US ZIP if rank monitoring is requested.</x:v>
      </x:c>
      <x:c r="I104" s="17" t="str">
        <x:v>FALSE</x:v>
      </x:c>
      <x:c r="J104" s="17" t="str">
        <x:v>ZIP is required only for applicable location-sensitive rank scope.</x:v>
      </x:c>
    </x:row>
    <x:row r="105">
      <x:c r="A105" s="17" t="str">
        <x:v>ISS-104</x:v>
      </x:c>
      <x:c r="B105" s="17" t="str">
        <x:v>MEDIUM</x:v>
      </x:c>
      <x:c r="C105" s="17" t="str">
        <x:v>WALMART_SKRMV3</x:v>
      </x:c>
      <x:c r="D105" s="17" t="str">
        <x:v>WALMART</x:v>
      </x:c>
      <x:c r="E105" s="17" t="str">
        <x:v>model</x:v>
      </x:c>
      <x:c r="F105" s="17" t="str">
        <x:v>MISSING_MODEL</x:v>
      </x:c>
      <x:c r="G105" s="17" t="str">
        <x:v>[blank]</x:v>
      </x:c>
      <x:c r="H105" s="17" t="str">
        <x:v>User to confirm product model before Phase 2 selection.</x:v>
      </x:c>
      <x:c r="I105" s="17" t="str">
        <x:v>FALSE</x:v>
      </x:c>
      <x:c r="J105" s="17" t="str">
        <x:v>No model was inferred from product name.</x:v>
      </x:c>
    </x:row>
    <x:row r="106">
      <x:c r="A106" s="17" t="str">
        <x:v>ISS-105</x:v>
      </x:c>
      <x:c r="B106" s="17" t="str">
        <x:v>HIGH</x:v>
      </x:c>
      <x:c r="C106" s="17" t="str">
        <x:v>WALMART_SKRMV3</x:v>
      </x:c>
      <x:c r="D106" s="17" t="str">
        <x:v>WALMART</x:v>
      </x:c>
      <x:c r="E106" s="17" t="str">
        <x:v>primary_keyword</x:v>
      </x:c>
      <x:c r="F106" s="17" t="str">
        <x:v>MISSING_PRIMARY_KEYWORD</x:v>
      </x:c>
      <x:c r="G106" s="17" t="str">
        <x:v>[blank]</x:v>
      </x:c>
      <x:c r="H106" s="17" t="str">
        <x:v>User to provide the intended primary keyword; do not infer it.</x:v>
      </x:c>
      <x:c r="I106" s="17" t="str">
        <x:v>FALSE</x:v>
      </x:c>
      <x:c r="J106" s="17" t="str">
        <x:v>Blocks rank-monitor scope approval only.</x:v>
      </x:c>
    </x:row>
    <x:row r="107">
      <x:c r="A107" s="17" t="str">
        <x:v>ISS-106</x:v>
      </x:c>
      <x:c r="B107" s="17" t="str">
        <x:v>MEDIUM</x:v>
      </x:c>
      <x:c r="C107" s="17" t="str">
        <x:v>WALMART_SKRMV3</x:v>
      </x:c>
      <x:c r="D107" s="17" t="str">
        <x:v>WALMART</x:v>
      </x:c>
      <x:c r="E107" s="17" t="str">
        <x:v>zip_code</x:v>
      </x:c>
      <x:c r="F107" s="17" t="str">
        <x:v>INVALID_ZIP_CODE</x:v>
      </x:c>
      <x:c r="G107" s="17" t="str">
        <x:v>[blank]</x:v>
      </x:c>
      <x:c r="H107" s="17" t="str">
        <x:v>User to provide a five-digit US ZIP if rank monitoring is requested.</x:v>
      </x:c>
      <x:c r="I107" s="17" t="str">
        <x:v>FALSE</x:v>
      </x:c>
      <x:c r="J107" s="17" t="str">
        <x:v>ZIP is required only for applicable location-sensitive rank scope.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>
      <x:c r="A1" s="22" t="str">
        <x:v>步骤</x:v>
      </x:c>
      <x:c r="B1" s="22" t="str">
        <x:v>用户操作</x:v>
      </x:c>
    </x:row>
    <x:row r="2" ht="38" customHeight="1">
      <x:c r="A2" s="17" t="str">
        <x:v>1</x:v>
      </x:c>
      <x:c r="B2" s="17" t="str">
        <x:v>点击 Open Listing，并由人工确认商品页面与 SKU、型号、Item ID 是否匹配。此工作簿不会访问链接。</x:v>
      </x:c>
    </x:row>
    <x:row r="3" ht="38" customHeight="1">
      <x:c r="A3" s="17" t="str">
        <x:v>2</x:v>
      </x:c>
      <x:c r="B3" s="17" t="str">
        <x:v>在 user_decision 选择 APPROVE、APPROVE_WITH_CHANGES、EXCLUDE 或 NEEDS_INVESTIGATION。</x:v>
      </x:c>
    </x:row>
    <x:row r="4" ht="38" customHeight="1">
      <x:c r="A4" s="17" t="str">
        <x:v>3</x:v>
      </x:c>
      <x:c r="B4" s="17" t="str">
        <x:v>确认 active 是否应为 TRUE；默认保持 FALSE。</x:v>
      </x:c>
    </x:row>
    <x:row r="5" ht="38" customHeight="1">
      <x:c r="A5" s="17" t="str">
        <x:v>4</x:v>
      </x:c>
      <x:c r="B5" s="17" t="str">
        <x:v>分别确认 monitor_listing、monitor_rank、monitor_review；至少一个 monitor 为 TRUE 才可能成为未来 Phase 2 候选。</x:v>
      </x:c>
    </x:row>
    <x:row r="6" ht="38" customHeight="1">
      <x:c r="A6" s="17" t="str">
        <x:v>5</x:v>
      </x:c>
      <x:c r="B6" s="17" t="str">
        <x:v>如需排名监控，填写 primary_keyword、可选 secondary_keyword，并确认五位 ZIP 与 max_search_pages。</x:v>
      </x:c>
    </x:row>
    <x:row r="7" ht="38" customHeight="1">
      <x:c r="A7" s="17" t="str">
        <x:v>6</x:v>
      </x:c>
      <x:c r="B7" s="17" t="str">
        <x:v>填写 user_notes，并将 review_status 改为 REVIEWED。</x:v>
      </x:c>
    </x:row>
    <x:row r="8" ht="38" customHeight="1">
      <x:c r="A8" s="17" t="str">
        <x:v>Phase 2 候选门槛</x:v>
      </x:c>
      <x:c r="B8" s="17" t="str">
        <x:v>仅当 REVIEWED、APPROVE 或 APPROVE_WITH_CHANGES、active=TRUE、URL/SKU/平台已确认，且至少一个 monitor=TRUE 时，才可在后续单独审批进入候选范围。此工作簿不会批准或启用任何记录。</x:v>
      </x:c>
    </x:row>
  </x:sheetData>
  <x:pageMargins left="0.7" right="0.7" top="0.75" bottom="0.75" header="0.3" footer="0.3"/>
</x:worksheet>
</file>